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yet VD-VDC" sheetId="1" state="visible" r:id="rId3"/>
    <sheet name="Tong hop" sheetId="2" state="visible" r:id="rId4"/>
  </sheets>
  <definedNames>
    <definedName function="false" hidden="true" localSheetId="0" name="_xlnm._FilterDatabase" vbProcedure="false">'Duyet VD-VDC'!$A$4:$N$155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<sst xmlns="http://schemas.openxmlformats.org/spreadsheetml/2006/main" count="1104" uniqueCount="561">
  <si>
    <t xml:space="preserve">Bảng duyệt mức VD / VDC cho các dạng trắc nghiệm (MC) và trả lời ngắn (SA) mức VD - trừ câu Đúng/Sai</t>
  </si>
  <si>
    <t xml:space="preserve">Cách điền: cột "Cô duyệt" (nền vàng) chọn VD hoặc VDC; để trống nghĩa là đồng ý với cột "Đề xuất". Dòng nền xanh là dạng đã đánh dấu VDC. Em đọc lại cột này để ghi "muc_do_dang" vào Mapping.</t>
  </si>
  <si>
    <t xml:space="preserve">STT</t>
  </si>
  <si>
    <t xml:space="preserve">ID dạng</t>
  </si>
  <si>
    <t xml:space="preserve">Lớp</t>
  </si>
  <si>
    <t xml:space="preserve">Chương</t>
  </si>
  <si>
    <t xml:space="preserve">Loại</t>
  </si>
  <si>
    <t xml:space="preserve">Dạng (Mapping)</t>
  </si>
  <si>
    <t xml:space="preserve">Yêu cầu cần đạt</t>
  </si>
  <si>
    <t xml:space="preserve">Số biến thể</t>
  </si>
  <si>
    <t xml:space="preserve">Câu mẫu (biến thể _01)</t>
  </si>
  <si>
    <t xml:space="preserve">Đề xuất</t>
  </si>
  <si>
    <t xml:space="preserve">Lí do đề xuất</t>
  </si>
  <si>
    <t xml:space="preserve">Ghi chú khác</t>
  </si>
  <si>
    <t xml:space="preserve">Cô duyệt</t>
  </si>
  <si>
    <t xml:space="preserve">Ghi chú của cô</t>
  </si>
  <si>
    <t xml:space="preserve">L10_C1_B1_VD014_MC_A</t>
  </si>
  <si>
    <t xml:space="preserve">MC</t>
  </si>
  <si>
    <t xml:space="preserve">Mệnh đề chưa biến</t>
  </si>
  <si>
    <t xml:space="preserve">Xác định được tính đúng sai của các mệnh đề phủ định, kéo theo, đảo, tương đương, mệnh đề chứa kí hiệu ∀, ∃.</t>
  </si>
  <si>
    <t xml:space="preserve">Cho mệnh đề chứa biến $P(x)\colon x^2 - 56x + k \geq 0$ với $x \in \mathbb{R}$. Có tất cả bao nhiêu giá trị nguyên của tham số $k$ thuộc $\left(-2026;\ 2027\right]$ để mệnh đề $P(x)$ đúng với mọi $x \in \mathbb{R}$?</t>
  </si>
  <si>
    <t xml:space="preserve">VD</t>
  </si>
  <si>
    <t xml:space="preserve">Áp dụng trực tiếp một định lí / công thức trong bối cảnh.</t>
  </si>
  <si>
    <t xml:space="preserve">L10_C1_B1_VD014_MC_B</t>
  </si>
  <si>
    <t xml:space="preserve">Đếm số mệnh đề đúng khi thay giá trị vào mệnh đề chứa biến</t>
  </si>
  <si>
    <t xml:space="preserve">Cho mệnh đề chứa biến $P(x)\colon x \ge x^{2}$. Trong các mệnh đề sau, có bao nhiêu mệnh đề đúng? \begin{enumerate} \item $P(3)$. \item $P\left(\dfrac{1}{2}\right)$. \item $\forall x\in \mathbb{N}, P(x)$. \item $\exists x\in \mathbb{N}, \overline{P(x)}$. \end{enumerate}</t>
  </si>
  <si>
    <t xml:space="preserve">L10_C1_B1_VD014_MC_C</t>
  </si>
  <si>
    <t xml:space="preserve">Tính đúng sai của mệnh đề kéo theo, tương đương giữa các bất đẳng thức số</t>
  </si>
  <si>
    <t xml:space="preserve">Trong các mệnh đề sau, mệnh đề nào đúng?</t>
  </si>
  <si>
    <t xml:space="preserve">L10_C1_B1_VD014_SA_A</t>
  </si>
  <si>
    <t xml:space="preserve">SA</t>
  </si>
  <si>
    <t xml:space="preserve">Cho mệnh đề chứa biến $P(x)\colon x^2 - 12x + k &gt; 0$ với $x \in \mathbb{R}$. Có tất cả bao nhiêu giá trị nguyên của tham số $k$ thuộc $\left[-2026;\ 2027\right]$ để mệnh đề $P(x)$ đúng với mọi $x \in \mathbb{R}$?</t>
  </si>
  <si>
    <t xml:space="preserve">L10_C1_B2_VD021_SA_B</t>
  </si>
  <si>
    <t xml:space="preserve">Tìm số nguyên m để khoảng chứa đúng k số nguyên</t>
  </si>
  <si>
    <t xml:space="preserve">Xác định hợp, giao, hiệu, phần bù của các khoảng, đoạn, nửa khoảng trên trục số.</t>
  </si>
  <si>
    <t xml:space="preserve">Tìm giá trị nguyên của tham số $m$ (với $m &gt; -23$) để tập hợp $\left(-23;m\right]$ chứa đúng 4 số nguyên âm.</t>
  </si>
  <si>
    <t xml:space="preserve">L10_C1_B2_VD020_MC_A</t>
  </si>
  <si>
    <t xml:space="preserve">tập hợp thực tế</t>
  </si>
  <si>
    <t xml:space="preserve">Giải quyết được một số vấn đề thực tiễn liên quan đến đếm số phần tử của tập hợp và các phép toán trên tập hợp.</t>
  </si>
  <si>
    <t xml:space="preserve">Lớp 10C7 của trường THPT chuyên Hùng Vương có $35$ học sinh. Khi được hỏi về môn thể thao yêu thích, có $19$ học sinh thích bóng rổ, $17$ học sinh thích bóng chuyền và $10$ học sinh thích cả hai môn. Số học sinh không thích môn nào trong hai môn trên là</t>
  </si>
  <si>
    <t xml:space="preserve">L10_C1_B2_VD021_MC_A</t>
  </si>
  <si>
    <t xml:space="preserve">Phép toán tập hợp tham </t>
  </si>
  <si>
    <t xml:space="preserve">Cho hai tập hợp $A = \left[ -6; 8 \right]$ và $B = \left( -13; m \right]$, trong đó $m$ là số nguyên sao cho $B \ne \varnothing$. Tìm giá trị nguyên nhỏ nhất của tham số $m$ để $A \cup B = B$.</t>
  </si>
  <si>
    <t xml:space="preserve">L10_C1_B2_VD021_MC_B</t>
  </si>
  <si>
    <t xml:space="preserve">Phép toán kết hợp trên ba khoảng, đoạn, nửa khoảng</t>
  </si>
  <si>
    <t xml:space="preserve">Cho ba tập hợp $A = \left(-7;\ -1\right)$, $B = \left(-\infty;\ 4\right]$ và $C = \left[-4;\ 8\right)$. Tập hợp $(A \cap B) \cup (A \cap C)$ là</t>
  </si>
  <si>
    <t xml:space="preserve">L10_C1_B2_VD021_SA_A</t>
  </si>
  <si>
    <t xml:space="preserve">Tìm tham số để hợp, giao thoả điều kiện cho trước</t>
  </si>
  <si>
    <t xml:space="preserve">Cho hai tập hợp $A = \left[ -3; 7 \right]$ và $B = \left( -2; m \right]$, trong đó $m$ là số nguyên sao cho $B \ne \varnothing$. Có tất cả bao nhiêu giá trị nguyên của tham số $m$ để $A \cup B = A$?</t>
  </si>
  <si>
    <t xml:space="preserve">L10_C1_B2_VD020_SA_A</t>
  </si>
  <si>
    <t xml:space="preserve">Đếm số phần tử tập hợp trong bài toán thực tế</t>
  </si>
  <si>
    <t xml:space="preserve">Lớp 10C7 của trường THPT chuyên Hùng Vương có $35$ học sinh. Khi được hỏi về môn thể thao yêu thích, có $19$ học sinh thích bóng rổ, $17$ học sinh thích bóng chuyền và $10$ học sinh thích cả hai môn. Hỏi có bao nhiêu học sinh không thích môn nào trong hai môn trên?</t>
  </si>
  <si>
    <t xml:space="preserve">L10_C1_B1_VD014_SA_B</t>
  </si>
  <si>
    <t xml:space="preserve">Đếm số mệnh đề đúng (chứa ∀, ∃, kéo theo) hoặc số n làm mệnh đề kéo theo sai</t>
  </si>
  <si>
    <t xml:space="preserve">Cho các mệnh đề sau:\\ 1. $\forall n \in \mathbb{N},\ n\left(n + 1\right)\left(n + 2\right) \text{ chia hết cho } 4$.\\ 2. $\forall x \in \mathbb{R},\ x^{2} - 3 &gt; 0$.\\ 3. $\exists n \in \mathbb{N},\ n^{2} = 16$.\\ 4. $\exists x \in \mathbb{R},\ x^{2} = 1$.\\ Có bao nhiêu mệnh đề đúng?</t>
  </si>
  <si>
    <t xml:space="preserve">L10_C1_B1_VD014_MC_D</t>
  </si>
  <si>
    <t xml:space="preserve">Tham số để mệnh đề kéo theo chứa ∀ là mệnh đề đúng</t>
  </si>
  <si>
    <t xml:space="preserve">Có bao nhiêu giá trị nguyên của tham số $m$ thuộc đoạn $\left[-10;\ 10\right]$ để mệnh đề ``$\forall x \in \mathbb{R},\ x &lt; m \Rightarrow x &lt; 3$'' là mệnh đề đúng?</t>
  </si>
  <si>
    <t xml:space="preserve">L10_C2_B4_VD028_MC_A</t>
  </si>
  <si>
    <t xml:space="preserve">Tìm giá trị lớn nhất, nhỏ nhất của F = ax + by trên miền đa giác</t>
  </si>
  <si>
    <t xml:space="preserve">Vận dụng được kiến thức về bất phương trình, hệ bất phương trình bậc nhất hai ẩn vào giải quyết bài toán thực tiễn.</t>
  </si>
  <si>
    <t xml:space="preserve">Giá trị nhỏ nhất của biểu thức $F(x;y) = 3 x - y$ với $(x;y)$ thuộc miền nghiệm của hệ bất phương trình $$\begin{cases} x \ge -6 \\ x \le 0 \\ x + 6 y \ge -24 \\ x - 6 y \ge -6 \end{cases}$$ là</t>
  </si>
  <si>
    <t xml:space="preserve">L10_C2_B4_VD028_SA_A</t>
  </si>
  <si>
    <t xml:space="preserve">Giá trị lớn nhất của F trên miền nghiệm</t>
  </si>
  <si>
    <t xml:space="preserve">Cho hệ bất phương trình $\heva{&amp; x \ge 0 \\ &amp; y \ge 0 \\ &amp; 7x + 3y \le 77 \\ &amp; x + 2y \le 22}$. Tìm giá trị lớn nhất của biểu thức $F\left(x; y\right) = 4x + 2y$ trên miền nghiệm của hệ.</t>
  </si>
  <si>
    <t xml:space="preserve">L10_C3_B6_VD036_MC_A</t>
  </si>
  <si>
    <t xml:space="preserve">Đo khoảng cách giữa hai địa điểm khi gặp vật cản</t>
  </si>
  <si>
    <t xml:space="preserve">Vận dụng được các hệ thức lượng trong tam giác để giải một số bài toán có nội dung thực tiễn.</t>
  </si>
  <si>
    <t xml:space="preserve">Để đo khoảng cách giữa hai điểm $A$ và $B$ nằm ở hai bờ của một cái hồ (không đo trực tiếp được), người ta chọn điểm $C$ rồi đo được $CA = 8\,\text{m}$, $CB = 15\,\text{m}$ và $\widehat{ACB} = 60^{\circ}$. Khoảng cách $AB$ bằng</t>
  </si>
  <si>
    <t xml:space="preserve">L10_C3_B6_VD036_SA_A</t>
  </si>
  <si>
    <t xml:space="preserve">Khoảng cách giữa hai địa điểm khi gặp vật cản</t>
  </si>
  <si>
    <t xml:space="preserve">Để đo khoảng cách giữa hai điểm $A$ và $B$ bị ngăn bởi một đầm lầy, người ta chọn điểm $C$ đo trực tiếp được và đo được $CA = 8\,\text{m}$, $CB = 15\,\text{m}$, $\widehat{ACB} = 60^{\circ}$. Tính khoảng cách $AB$ (đơn vị mét).</t>
  </si>
  <si>
    <t xml:space="preserve">L10_C3_B6_VD036_MC_B</t>
  </si>
  <si>
    <t xml:space="preserve">Đo khoảng cách qua đầm lầy bằng định lí sin</t>
  </si>
  <si>
    <t xml:space="preserve">Để đo khoảng cách từ $A$ đến $B$ ngang qua một đầm lầy, người ta chọn điểm $C$ như hình. Người ta đo được khoảng cách từ $A$ đến $C$ bằng $7$ m. Và biết rằng từ điểm $A$ nhìn hai điểm $B$ và $C$ dưới một góc bằng $ 110 ^\circ$, từ điểm $C$ nhìn hai điểm $A$ và $B$ dưới một góc bằng $ 39 ^\circ$. Tính khoảng cách từ $A$ đến $B$. } { [hình] }</t>
  </si>
  <si>
    <t xml:space="preserve">L10_C3_B6_VD036_MC_C</t>
  </si>
  <si>
    <t xml:space="preserve">Bài toán chuyển động: tính khoảng cách bằng định lí côsin</t>
  </si>
  <si>
    <t xml:space="preserve">Một tàu xuất phát từ bãi biển $A$, chạy theo hướng $N 50^\circ E$ với vận tốc $20$ km/h. Sau khi đi được $30$ phút đến vị trí $B$, tàu chuyển sang hướng $S 70^\circ E$ và chạy với tốc độ $40$ km/h trong $35$ phút nữa thì đến đảo $C$. Hỏi tàu cách vị trí xuất phát xấp xỉ bao nhiêu kilômet?</t>
  </si>
  <si>
    <t xml:space="preserve">VDC</t>
  </si>
  <si>
    <t xml:space="preserve">Phải đổi hướng la bàn thành góc tại điểm đổi hướng, rồi định lí côsin (biến thể _03 còn hỏi hướng: thêm định lí sin).</t>
  </si>
  <si>
    <t xml:space="preserve">L10_C3_B6_VD036_SA_B</t>
  </si>
  <si>
    <t xml:space="preserve">Bài toán thực tế: tính diện tích mảnh đất tam giác bằng Heron</t>
  </si>
  <si>
    <t xml:space="preserve">Người ta đo một khu đất hình tam giác và được ba cạnh lần lượt là $7\,\text{m}$, $15\,\text{m}$ và $20\,\text{m}$. Tính diện tích khu đất (đơn vị $\text{m}^{2}$).</t>
  </si>
  <si>
    <t xml:space="preserve">Biến thể _03 (tứ giác, Heron hai lần) khó hơn _01, _02: có thể tách _03 thành dạng riêng mức VDC.</t>
  </si>
  <si>
    <t xml:space="preserve">L10_C3_B6_VD036_MC_D</t>
  </si>
  <si>
    <t xml:space="preserve">Đo chiều cao vật cao bằng hai góc nâng bất kì</t>
  </si>
  <si>
    <t xml:space="preserve">Để đo chiều cao $DH$ của một cây cổ thụ mà không tới được gốc cây, người ta chọn hai điểm $A$, $B$ trên mặt đất cùng nằm trên một đường thẳng đi qua $H$ (điểm $B$ nằm giữa $A$ và $H$) với $AB = 40\,\text{m}$. Từ $A$ nhìn lên ngọn cây được góc nâng $30^{\circ}$, từ $B$ nhìn lên ngọn cây được góc nâng $50^{\circ}$. Chiều cao $DH$ gần nhất với giá trị nào sau đây (làm tròn đến hàng phần mười)?</t>
  </si>
  <si>
    <t xml:space="preserve">Hai góc nâng: định lí sin trong tam giác phụ rồi mới dùng tam giác vuông (2 bước, tự dựng tam giác).</t>
  </si>
  <si>
    <t xml:space="preserve">L10_C3_B6_VD036_SA_C</t>
  </si>
  <si>
    <t xml:space="preserve">Bài toán chuyển động: hai tàu cùng xuất phát theo hai hướng (định lí côsin)</t>
  </si>
  <si>
    <t xml:space="preserve">Hai tàu đánh cá cùng xuất phát từ bến $A$ và đi thẳng đều về hai vùng biển khác nhau, theo hai hướng tạo với nhau góc $50^{\circ}$. Tàu thứ nhất đi với tốc độ $15$ hải lí một giờ, tàu thứ hai đi với tốc độ $7$ hải lí một giờ. Sau $2,5$ giờ thì khoảng cách giữa hai tàu là bao nhiêu hải lí (làm tròn kết quả đến hàng phần mười)?} {[hình]}</t>
  </si>
  <si>
    <t xml:space="preserve">Biến thể _02 (tìm thời gian, giải phương trình bậc hai) khó hơn _01.</t>
  </si>
  <si>
    <t xml:space="preserve">L10_C3_B6_VD036_SA_D</t>
  </si>
  <si>
    <t xml:space="preserve">Tính chiều cao, khoảng cách không đo trực tiếp được bằng định lí sin (có hình)</t>
  </si>
  <si>
    <t xml:space="preserve">Một người đi dọc bờ biển từ vị trí $A$ đến vị trí $B$ và quan sát một ngọn hải đăng $C$. Góc nghiêng của phương quan sát từ các vị trí $A$, $B$ tới ngọn hải đăng với đường đi của người quan sát là $35^{\circ}$ và $55^{\circ}$ (như hình vẽ). Biết khoảng cách giữa hai vị trí $A$, $B$ là $40$ m. Ngọn hải đăng cách bờ biển bao nhiêu mét (làm tròn kết quả đến hàng đơn vị)?} {[hình]}</t>
  </si>
  <si>
    <t xml:space="preserve">Hải đăng / cây / ăng-ten: định lí sin rồi tam giác vuông (2 bước).</t>
  </si>
  <si>
    <t xml:space="preserve">L10_C3_B6_VD036_SA_E</t>
  </si>
  <si>
    <t xml:space="preserve">Hai người đi theo hai hướng tới cùng một đích: dùng định lí côsin nhiều lần (có hình)</t>
  </si>
  <si>
    <t xml:space="preserve">Hai bạn An và Bình cùng xuất phát từ điểm $P$, đi theo hai hướng khác nhau tạo với nhau một góc $40^{\circ}$ để đến đích là điểm $D$. An đi $9$ km thì dừng ăn trưa tại $A$, rồi đi tiếp $2$ km đến $D$, biết $\widehat{PAD} = 95^{\circ}$. Bình đi $7$ km thì dừng ăn trưa tại $B$ (như hình vẽ). Hỏi Bình phải đi bao nhiêu km nữa để đến đích (làm tròn đến hàng phần mười)? \begin{center} [hình] \end{center}</t>
  </si>
  <si>
    <t xml:space="preserve">Dùng định lí côsin nhiều lần, tính góc trung gian.</t>
  </si>
  <si>
    <t xml:space="preserve">L10_C3_B6_VD036_MC_E</t>
  </si>
  <si>
    <t xml:space="preserve">Sườn đồi có độ dốc cho trước (tang góc dốc), cây mọc thẳng đứng: tính góc dốc, chiều cao cây (định lí sin)</t>
  </si>
  <si>
    <t xml:space="preserve">Trên một sườn đồi có độ dốc $8\%$ (độ dốc của sườn đồi được tính bằng tang của góc tạo bởi sườn đồi với phương nằm ngang) có một cây cao $BC$ mọc thẳng đứng ($B$ là gốc cây). Ở phía chân đồi, tại điểm $A$ cách gốc cây $50\,\text{m}$, người ta nhìn ngọn cây dưới một góc $50^{\circ}$ so với phương nằm ngang (như hình vẽ). Chiều cao của cây (làm tròn đến hàng đơn vị, theo đơn vị mét) là} {[hình]}</t>
  </si>
  <si>
    <t xml:space="preserve">Sườn đồi: tự suy góc từ độ dốc, dựng tam giác rồi định lí sin (cô đã xếp chiều cao là ý VDC ở câu tự luận).</t>
  </si>
  <si>
    <t xml:space="preserve">L10_C3_B6_VD036_SA_G</t>
  </si>
  <si>
    <t xml:space="preserve">Trên một sườn đồi có độ dốc $8\%$ (độ dốc của sườn đồi được tính bằng tang của góc tạo bởi sườn đồi với phương nằm ngang) có một cây cao $BC$ mọc thẳng đứng ($B$ là gốc cây). Ở phía chân đồi, tại điểm $A$ cách gốc cây $50\,\text{m}$, người ta nhìn ngọn cây dưới một góc $50^{\circ}$ so với phương nằm ngang (như hình vẽ). Tính chiều cao của cây (làm tròn đến hàng đơn vị, theo đơn vị mét).} {[hình]}</t>
  </si>
  <si>
    <t xml:space="preserve">Như MC_E (bản trả lời ngắn).</t>
  </si>
  <si>
    <t xml:space="preserve">L10_C3_B6_VD036_SA_F</t>
  </si>
  <si>
    <t xml:space="preserve">Tàu đổi hướng trên biển: định lí côsin rồi định lí sin</t>
  </si>
  <si>
    <t xml:space="preserve">Trên biển, một tàu cá xuất phát từ cảng $A$, chạy về phía nam $12\,\text{km}$ tới $B$, rồi chuyển sang hướng $\mathrm{S}\,50^{\circ}\,\mathrm{W}$ chạy tiếp $9\,\text{km}$ nữa tới đảo $C$. Tính khoảng cách từ $A$ đến $C$ (làm tròn đến hàng đơn vị, theo đơn vị ki-lô-mét).</t>
  </si>
  <si>
    <t xml:space="preserve">Như MC_C: đổi hướng la bàn thành góc, côsin rồi sin.</t>
  </si>
  <si>
    <t xml:space="preserve">L10_C3_B6_VD036_MC_F</t>
  </si>
  <si>
    <t xml:space="preserve">Khinh khí cầu nhìn từ hai điểm trên sườn đồi nghiêng: tính các góc tam giác rồi khoảng cách (định lí sin) - vận dụng cao</t>
  </si>
  <si>
    <t xml:space="preserve">Hai người quan sát tại $P$ và $Q$ đứng trên sườn của một ngọn đồi có độ nghiêng $19^{\circ}$ so với mặt phẳng ngang, như hình. Người quan sát tại $P$ nhìn một chiếc khinh khí cầu (điểm $O$) dưới một góc $70^{\circ}$ so với phương nằm ngang. Cùng lúc đó, người quan sát tại $Q$ nhìn khinh khí cầu này dưới một góc $77^{\circ}$ so với phương nằm ngang. Biết rằng $P$ và $Q$ cách nhau $50\,\text{m}$ dọc theo sườn đồi. Khoả</t>
  </si>
  <si>
    <t xml:space="preserve">Đã đánh dấu VDC (khinh khí cầu, 30/09/2026).</t>
  </si>
  <si>
    <t xml:space="preserve">L10_C3_B6_VD036_SA_H</t>
  </si>
  <si>
    <t xml:space="preserve">Hai người quan sát tại $P$ và $Q$ đứng trên sườn của một ngọn đồi có độ nghiêng $19^{\circ}$ so với mặt phẳng ngang, như hình. Người quan sát tại $P$ nhìn một chiếc khinh khí cầu (điểm $O$) dưới một góc $70^{\circ}$ so với phương nằm ngang. Cùng lúc đó, người quan sát tại $Q$ nhìn khinh khí cầu này dưới một góc $77^{\circ}$ so với phương nằm ngang. Biết rằng $P$ và $Q$ cách nhau $50\,\text{m}$ dọc theo sườn đồi. Tính</t>
  </si>
  <si>
    <t xml:space="preserve">L10_C4_B10_VD054_MC_A</t>
  </si>
  <si>
    <t xml:space="preserve">Bài toán hình học phẳng giải bằng toạ độ</t>
  </si>
  <si>
    <t xml:space="preserve">Vận dụng được biểu thức toạ độ của các phép toán vectơ vào giải một số bài toán hình học phẳng.</t>
  </si>
  <si>
    <t xml:space="preserve">Trong mặt phẳng toạ độ $Oxy$, cho ba điểm $A\left(1;\ 3\right)$, $B\left(7;\ -5\right)$, $C\left(9;\ 9\right)$. Tam giác $ABC$ là tam giác gì?</t>
  </si>
  <si>
    <t xml:space="preserve">L10_C4_B10_VD054_SA_A</t>
  </si>
  <si>
    <t xml:space="preserve">Độ dài trung tuyến theo toạ độ</t>
  </si>
  <si>
    <t xml:space="preserve">Trong mặt phẳng toạ độ $Oxy$, cho tam giác $DBC$ với $D\left(13;\ 12\right)$, $B\left(3;\ -8\right)$, $C\left(-9;\ 8\right)$. Gọi $A$ là trung điểm của $BC$. Tính độ dài trung tuyến $DA$.</t>
  </si>
  <si>
    <t xml:space="preserve">L10_C4_B10_VD055_MC_A</t>
  </si>
  <si>
    <t xml:space="preserve">Vị trí của vật trên mặt phẳng toạ độ</t>
  </si>
  <si>
    <t xml:space="preserve">Vận dụng được kiến thức về toạ độ của vectơ để giải một số bài toán liên quan đến thực tiễn.</t>
  </si>
  <si>
    <t xml:space="preserve">Một ca nô xuất phát từ vị trí $A\left(-4;\ 3\right)$ trên mặt phẳng toạ độ $Oxy$ (đơn vị trên mỗi trục là ki-lô-mét) và chuyển động thẳng đều với vectơ vận tốc $\overrightarrow{v} = \left(-4;\ -1\right)$ (đơn vị: km/h). Sau $2$ giờ, ca nô ở vị trí nào?</t>
  </si>
  <si>
    <t xml:space="preserve">L10_C4_B10_VD055_SA_A</t>
  </si>
  <si>
    <t xml:space="preserve">Vị trí của vật sau một khoảng thời gian</t>
  </si>
  <si>
    <t xml:space="preserve">Một ca nô xuất phát từ vị trí $A\left(-4;\ 3\right)$ trên mặt phẳng toạ độ $Oxy$ (đơn vị trên mỗi trục là ki-lô-mét) và chuyển động thẳng đều với vectơ vận tốc $\overrightarrow{v} = \left(-4;\ -1\right)$ (đơn vị: km/h). Tìm \textbf{hoành độ} vị trí của ca nô sau $2$ giờ.</t>
  </si>
  <si>
    <t xml:space="preserve">L10_C4_B10_VD056_MC_A</t>
  </si>
  <si>
    <t xml:space="preserve">Giải tam giác bằng phương pháp toạ độ</t>
  </si>
  <si>
    <t xml:space="preserve">Vận dụng được phương pháp toạ độ vào bài toán giải tam giác.</t>
  </si>
  <si>
    <t xml:space="preserve">Trong mặt phẳng toạ độ $Oxy$, cho tam giác $ABC$ với $A\left(-2;\ -3\right)$, $B\left(-3;\ -7\right)$, $C\left(0;\ -1\right)$. Diện tích tam giác $ABC$ bằng</t>
  </si>
  <si>
    <t xml:space="preserve">L10_C4_B10_VD056_SA_A</t>
  </si>
  <si>
    <t xml:space="preserve">Diện tích tam giác theo toạ độ</t>
  </si>
  <si>
    <t xml:space="preserve">Trong mặt phẳng toạ độ $Oxy$, cho tam giác $ABC$ với $A\left(-2;\ -3\right)$, $B\left(-3;\ -7\right)$, $C\left(0;\ -1\right)$. Tính diện tích tam giác $ABC$.</t>
  </si>
  <si>
    <t xml:space="preserve">L10_C4_B11_VD060_MC_A</t>
  </si>
  <si>
    <t xml:space="preserve">Tổng hợp lực tác dụng lên vật bằng vectơ</t>
  </si>
  <si>
    <t xml:space="preserve">Sử dụng được vectơ và các phép toán trên vectơ để giải thích một số hiện tượng có liên quan đến Vật lí và Hoá học.</t>
  </si>
  <si>
    <t xml:space="preserve">Trên mặt phẳng, chất điểm $A$ chịu tác dụng của ba lực $\overrightarrow{F_1}$, $\overrightarrow{F_2}$, $\overrightarrow{F_3}$ và ở trạng thái cân bằng. Biết $\left|\overrightarrow{F_1}\right| = 7\ \text{N}$, $\left|\overrightarrow{F_2}\right| = 33\ \text{N}$ và góc giữa hai vectơ $\overrightarrow{F_1}$, $\overrightarrow{F_2}$ bằng $60^{\circ}$. Tính độ lớn của lực $\overrightarrow{F_3}$.</t>
  </si>
  <si>
    <t xml:space="preserve">L10_C4_B11_VD060_SA_A</t>
  </si>
  <si>
    <t xml:space="preserve">Độ lớn lực thứ ba khi vật cân bằng</t>
  </si>
  <si>
    <t xml:space="preserve">Chất điểm $A$ chịu tác dụng của ba lực $\overrightarrow{F_1}$, $\overrightarrow{F_2}$, $\overrightarrow{F_3}$ và ở trạng thái cân bằng. Biết $\left|\overrightarrow{F_1}\right| = 7\ \text{N}$, $\left|\overrightarrow{F_2}\right| = 33\ \text{N}$, góc giữa $\overrightarrow{F_1}$ và $\overrightarrow{F_2}$ bằng $60^{\circ}$. Tính $\left|\overrightarrow{F_3}\right|$ (đơn vị: N).</t>
  </si>
  <si>
    <t xml:space="preserve">L10_C4_B11_VD061_MC_A</t>
  </si>
  <si>
    <t xml:space="preserve">Phân tích một vectơ theo hai vectơ không cùng phương</t>
  </si>
  <si>
    <t xml:space="preserve">Vận dụng được kiến thức về vectơ vào giải một số bài toán hình học và một số bài toán có nội dung thực tiễn.</t>
  </si>
  <si>
    <t xml:space="preserve">Cho tam giác $ABC$ và điểm $M$ nằm trên cạnh $BC$ sao cho $\overrightarrow{BM} = \dfrac{1}{3}\,\overrightarrow{BC}$ (xem hình vẽ). Hãy phân tích $\overrightarrow{AM}$ theo hai vectơ $\overrightarrow{AB}$ và $\overrightarrow{AC}$.} {[hình]}</t>
  </si>
  <si>
    <t xml:space="preserve">L10_C4_B11_VD061_SA_A</t>
  </si>
  <si>
    <t xml:space="preserve">Hệ số trong phân tích vectơ theo trung điểm, trọng tâm</t>
  </si>
  <si>
    <t xml:space="preserve">Cho tam giác $ABC$ và điểm $M$ là trung điểm của cạnh $BC$. Biết $\overrightarrow{AM} = \dfrac{1}{n}\left(\overrightarrow{AB} + \overrightarrow{AC}\right)$. Tìm số nguyên dương $n$.</t>
  </si>
  <si>
    <t xml:space="preserve">L10_C5_B12_VD070_MC_A</t>
  </si>
  <si>
    <t xml:space="preserve">Phát hiện số liệu không chính xác nhờ mối liên hệ giữa các số liệu (tổng các thành phần)</t>
  </si>
  <si>
    <t xml:space="preserve">Phát hiện và lí giải được số liệu không chính xác dựa trên mối liên hệ toán học đơn giản giữa các số liệu đã được biểu diễn.</t>
  </si>
  <si>
    <t xml:space="preserve">Bảng sau ghi số học sinh nam, nữ và sĩ số của các lớp khối 10: \begin{center}\begin{tabular}{|c|c|c|c|}\hline Lớp &amp; Nam &amp; Nữ &amp; Sĩ số \\ \hline 10A1 &amp; $18$ &amp; $10$ &amp; $28$ \\ \hline 10A2 &amp; $21$ &amp; $21$ &amp; $42$ \\ \hline 10A3 &amp; $21$ &amp; $19$ &amp; $30$ \\ \hline 10A4 &amp; $17$ &amp; $10$ &amp; $37$ \\ \hline 10A5 &amp; $21$ &amp; $7$ &amp; $29$ \\ \hline\end{tabular}\end{center} Có bao nhiêu lớp có số liệu \textbf{không chính xác}?</t>
  </si>
  <si>
    <t xml:space="preserve">L10_C5_B12_VD070_SA_A</t>
  </si>
  <si>
    <t xml:space="preserve">Số liệu không hợp lí trong bảng dữ liệu</t>
  </si>
  <si>
    <t xml:space="preserve">Bảng sau ghi số vé người lớn, vé trẻ em và tổng số vé một rạp chiếu phim bán được trong các ngày: \begin{center}\begin{tabular}{|c|c|c|c|}\hline Ngày &amp; Người lớn &amp; Trẻ em &amp; Tổng \\ \hline Thứ Hai &amp; $68$ &amp; $62$ &amp; $130$ \\ \hline Thứ Ba &amp; $75$ &amp; $93$ &amp; $168$ \\ \hline Thứ Tư &amp; $117$ &amp; $90$ &amp; $207$ \\ \hline Thứ Năm &amp; $143$ &amp; $78$ &amp; $223$ \\ \hline Thứ Sáu &amp; $86$ &amp; $42$ &amp; $128$ \\ \hline Thứ Bảy &amp; $122$ &amp; $33$ &amp; $145$ \</t>
  </si>
  <si>
    <t xml:space="preserve">L10_C5_B13_VD077_MC_A</t>
  </si>
  <si>
    <t xml:space="preserve">Rút ra kết luận từ số đặc trưng đo xu thế trung tâm</t>
  </si>
  <si>
    <t xml:space="preserve">Chỉ ra được những kết luận nhờ ý nghĩa của các số đặc trưng đo xu thế trung tâm của mẫu số liệu.</t>
  </si>
  <si>
    <t xml:space="preserve">Số tiền (đơn vị: triệu đồng) mà $9$ hộ gia đình trong một khu phố đóng góp cho quỹ từ thiện được ghi lại:\\ \begin{center}$6$\quad $6$\quad $7$\quad $8$\quad $10$\quad $12$\quad $12$\quad $12$\quad $80$\end{center} Nên dùng số đặc trưng nào để đại diện cho mức đóng góp của khu phố này, và vì sao?</t>
  </si>
  <si>
    <t xml:space="preserve">L10_C5_B13_VD077_SA_A</t>
  </si>
  <si>
    <t xml:space="preserve">Số đặc trưng thay thế khi mẫu có giá trị bất thường</t>
  </si>
  <si>
    <t xml:space="preserve">Số tiền (triệu đồng) mà $9$ hộ gia đình đóng góp cho quỹ từ thiện được ghi lại:\\ \begin{center}$6$\quad $6$\quad $7$\quad $8$\quad $10$\quad $12$\quad $12$\quad $12$\quad $80$\end{center} Mẫu có một giá trị bất thường nên số trung bình không còn đại diện tốt. Hãy tính số đặc trưng \textbf{thay thế} phù hợp nhất cho mẫu này.</t>
  </si>
  <si>
    <t xml:space="preserve">L10_C5_B13_VD078_MC_A</t>
  </si>
  <si>
    <t xml:space="preserve">Tìm giá trị ngoại lệ của mẫu số liệu qua biểu đồ hộp</t>
  </si>
  <si>
    <t xml:space="preserve">Chỉ ra được những giá trị bất thường (giá trị ngoại lệ) của mẫu số liệu thông qua biểu đồ hộp (box plot).</t>
  </si>
  <si>
    <t xml:space="preserve">Biểu đồ hộp sau mô tả một mẫu số liệu. Giá trị nào là \textbf{giá trị ngoại lệ} của mẫu?} {[hình]}</t>
  </si>
  <si>
    <t xml:space="preserve">L10_C5_B13_VD078_SA_A</t>
  </si>
  <si>
    <t xml:space="preserve">Giá trị ngoại lệ đọc từ biểu đồ hộp</t>
  </si>
  <si>
    <t xml:space="preserve">Biểu đồ hộp bên mô tả một mẫu số liệu. Tìm giá trị ngoại lệ của mẫu.} {[hình]}</t>
  </si>
  <si>
    <t xml:space="preserve">L10_C5_B14_VD083_MC_A</t>
  </si>
  <si>
    <t xml:space="preserve">So sánh độ ổn định của hai mẫu số liệu thực tiễn</t>
  </si>
  <si>
    <t xml:space="preserve">Giải thích được ý nghĩa và vai trò của các số đặc trưng đo độ phân tán trong các tình huống thực tiễn.</t>
  </si>
  <si>
    <t xml:space="preserve">Điểm bắn trong $6$ lần của hai xạ thủ An và Bình được ghi lại:\\ An: \quad $5$\quad $6$\quad $8$\quad $9$\quad $9$\quad $11$\\ Bình: \quad $5$\quad $5$\quad $6$\quad $8$\quad $12$\quad $12$ Ai bắn \textbf{ổn định} hơn và vì sao?</t>
  </si>
  <si>
    <t xml:space="preserve">L10_C5_B14_VD083_SA_A</t>
  </si>
  <si>
    <t xml:space="preserve">Độ lệch chuẩn của mẫu ổn định hơn</t>
  </si>
  <si>
    <t xml:space="preserve">Điểm bắn trong $6$ lần của hai xạ thủ được ghi lại:\\ An: \quad $5$\quad $6$\quad $8$\quad $9$\quad $9$\quad $11$\\ Bình: \quad $5$\quad $5$\quad $6$\quad $8$\quad $12$\quad $12$ Hai bạn có cùng điểm trung bình. Tính độ lệch chuẩn của bạn bắn \textbf{ổn định hơn}.</t>
  </si>
  <si>
    <t xml:space="preserve">L10_C5_B14_VD084_MC_A</t>
  </si>
  <si>
    <t xml:space="preserve">Rút ra kết luận từ số đặc trưng đo độ phân tán</t>
  </si>
  <si>
    <t xml:space="preserve">Chỉ ra được những kết luận nhờ ý nghĩa của các số đặc trưng đo độ phân tán của mẫu số liệu.</t>
  </si>
  <si>
    <t xml:space="preserve">Cho mẫu số liệu đã sắp xếp theo thứ tự không giảm:\\ \begin{center}$22$\quad $23$\quad $28$\quad $32$\quad $34$\quad $35$\quad $35$\quad $38$\quad $40$\quad $61$\end{center} Giá trị nào của mẫu là \textbf{giá trị ngoại lệ}?</t>
  </si>
  <si>
    <t xml:space="preserve">L10_C5_B14_VD084_SA_A</t>
  </si>
  <si>
    <t xml:space="preserve">Giá trị ngoại lệ theo khoảng tứ phân vị</t>
  </si>
  <si>
    <t xml:space="preserve">Cho mẫu số liệu đã sắp xếp theo thứ tự không giảm:\\ \begin{center}$22$\quad $23$\quad $28$\quad $32$\quad $34$\quad $35$\quad $35$\quad $38$\quad $40$\quad $61$\end{center} Tìm giá trị ngoại lệ của mẫu số liệu.</t>
  </si>
  <si>
    <t xml:space="preserve">L10_C6_B15_VD092_MC_A</t>
  </si>
  <si>
    <t xml:space="preserve">Hàm số bậc nhất trên từng khoảng: bài toán cước điện thoại</t>
  </si>
  <si>
    <t xml:space="preserve">Vận dụng được kiến thức của hàm số vào giải quyết bài toán thực tiễn.</t>
  </si>
  <si>
    <t xml:space="preserve">Một gói cước điện thoại có giá $25$ nghìn đồng một tháng, được gọi miễn phí $200$ phút; mỗi phút gọi vượt quá $200$ phút phải trả thêm $200$ đồng. Trong tháng, bạn An gọi hết $240$ phút. Hỏi An phải trả bao nhiêu tiền cước?</t>
  </si>
  <si>
    <t xml:space="preserve">L10_C6_B15_VD092_SA_A</t>
  </si>
  <si>
    <t xml:space="preserve">Tiền cước theo hàm số bậc nhất trên từng khoảng</t>
  </si>
  <si>
    <t xml:space="preserve">Một gói cước điện thoại giá $25$ nghìn đồng một tháng, được gọi miễn phí $200$ phút; mỗi phút vượt quá $200$ phút phải trả thêm $200$ đồng. Tháng đó bạn An gọi $240$ phút. Tính số tiền cước An phải trả (đơn vị: đồng).</t>
  </si>
  <si>
    <t xml:space="preserve">L10_C6_B16_VD098_MC_A</t>
  </si>
  <si>
    <t xml:space="preserve">Bài toán cổng, cầu dạng Parabola</t>
  </si>
  <si>
    <t xml:space="preserve">Vận dụng được hàm số bậc hai và đồ thị vào giải quyết một số bài toán thực tiễn.</t>
  </si>
  <si>
    <t xml:space="preserve">Một chiếc cổng có dạng parabol, chân cổng rộng $10$ m và đỉnh cổng cao $9$ m so với mặt đất. Tính chiều cao của cổng tại điểm cách chân cổng bên trái $2$ m.</t>
  </si>
  <si>
    <t xml:space="preserve">L10_C6_B16_VD098_SA_A</t>
  </si>
  <si>
    <t xml:space="preserve">Chiều cao cổng parabol tại một vị trí</t>
  </si>
  <si>
    <t xml:space="preserve">Một chiếc cổng dạng parabol có chân cổng rộng $10$ m và đỉnh cao $9$ m. Tính chiều cao của cổng tại điểm cách chân cổng bên trái $2$ m (đơn vị: mét).</t>
  </si>
  <si>
    <t xml:space="preserve">L10_C6_B17_VD103_MC_A</t>
  </si>
  <si>
    <t xml:space="preserve">Bài toán thực tiễn dẫn đến bất phương trình bậc hai</t>
  </si>
  <si>
    <t xml:space="preserve">Vận dụng được bất phương trình bậc hai một ẩn vào giải quyết bài toán thực tiễn.</t>
  </si>
  <si>
    <t xml:space="preserve">Một quả bóng được ném thẳng đứng lên cao với vận tốc ban đầu $25$ m/s. Độ cao của bóng (tính bằng mét) sau $t$ giây là $h(t) = -5t^2 + 25t$. Hỏi bóng ở độ cao lớn hơn $20$ m trong khoảng thời gian bao lâu?</t>
  </si>
  <si>
    <t xml:space="preserve">L10_C6_B17_VD103_SA_A</t>
  </si>
  <si>
    <t xml:space="preserve">Khoảng thời gian vật ở trên một độ cao cho trước</t>
  </si>
  <si>
    <t xml:space="preserve">Một quả bóng được ném thẳng đứng lên cao, độ cao sau $t$ giây là $h(t) = -5t^2 + 25t$ (mét). Hỏi bóng ở độ cao lớn hơn $20$ m trong bao nhiêu giây?</t>
  </si>
  <si>
    <t xml:space="preserve">L10_C7_B19_VD107_MC_A</t>
  </si>
  <si>
    <t xml:space="preserve">Lập phương trình đường thẳng từ điều kiện không trực tiếp</t>
  </si>
  <si>
    <t xml:space="preserve">Lập được phương trình đường thẳng trong mặt phẳng toạ độ khi biết các yếu tố xác định đường thẳng đó.</t>
  </si>
  <si>
    <t xml:space="preserve">Lập phương trình đường trung trực của đoạn thẳng $AB$ với $A\left(1;\ 1\right)$ và $B\left(3;\ 7\right)$.</t>
  </si>
  <si>
    <t xml:space="preserve">L10_C7_B19_VD107_SA_A</t>
  </si>
  <si>
    <t xml:space="preserve">Hệ số tự do của đường thẳng song song đi qua một điểm</t>
  </si>
  <si>
    <t xml:space="preserve">Đường thẳng $d$ đi qua điểm $M\left(-4;\ -1\right)$ và song song với đường thẳng $\Delta: 3x - 2y + 3 = 0$ có phương trình dạng $3x - 2y + m = 0$. Tìm $m$.</t>
  </si>
  <si>
    <t xml:space="preserve">L10_C7_B20_VD109_MC_A</t>
  </si>
  <si>
    <t xml:space="preserve">Tìm tham số để hai đường thẳng song song, vuông góc</t>
  </si>
  <si>
    <t xml:space="preserve">Thiết lập được điều kiện để hai đường thẳng cắt nhau, song song, trùng nhau, vuông góc với nhau bằng phương pháp toạ độ.</t>
  </si>
  <si>
    <t xml:space="preserve">Tìm $m$ để đường thẳng $d_2: -2x + my + 0 = 0$ song song với đường thẳng $d_1: -2x - 3y + 4 = 0$.</t>
  </si>
  <si>
    <t xml:space="preserve">Lỗi hiển thị trong đề mẫu: "-2x + my + 0 = 0" (thừa + 0).</t>
  </si>
  <si>
    <t xml:space="preserve">L10_C7_B20_VD109_SA_A</t>
  </si>
  <si>
    <t xml:space="preserve">Giá trị tham số thoả điều kiện</t>
  </si>
  <si>
    <t xml:space="preserve">Tìm $m$ để đường thẳng $d_2: mx + 6y + 6 = 0$ vuông góc với đường thẳng $d_1: x + 6y + 6 = 0$.</t>
  </si>
  <si>
    <t xml:space="preserve">L10_C7_B21_VD113_MC_A</t>
  </si>
  <si>
    <t xml:space="preserve">Lập phương trình đường tròn đi qua ba điểm</t>
  </si>
  <si>
    <t xml:space="preserve">Lập được phương trình đường tròn khi biết toạ độ ba điểm thuộc đường tròn.</t>
  </si>
  <si>
    <t xml:space="preserve">Lập phương trình đường tròn đi qua ba điểm $A\left(3;\ -15\right)$, $B\left(-14;\ -8\right)$, $C\left(3;\ 9\right)$.</t>
  </si>
  <si>
    <t xml:space="preserve">L10_C7_B21_VD113_SA_A</t>
  </si>
  <si>
    <t xml:space="preserve">Tâm và bán kính đường tròn đi qua ba điểm</t>
  </si>
  <si>
    <t xml:space="preserve">Đường tròn đi qua ba điểm $A\left(3;\ -15\right)$, $B\left(-14;\ -8\right)$, $C\left(3;\ 9\right)$ có tâm $I\left(a;\ b\right)$ và bán kính $R$. Tính $a + b + R$.</t>
  </si>
  <si>
    <t xml:space="preserve">L10_C7_B21_VD114_MC_A</t>
  </si>
  <si>
    <t xml:space="preserve">Lập phương trình đường tròn từ điều kiện không trực tiếp</t>
  </si>
  <si>
    <t xml:space="preserve">Lập được phương trình đường tròn khi biết các điều kiện không trực tiếp cho trước</t>
  </si>
  <si>
    <t xml:space="preserve">Lập phương trình đường tròn có tâm $I\left(-2;\ -3\right)$ và tiếp xúc với đường thẳng $\Delta: 5x + 12y + 72 = 0$.</t>
  </si>
  <si>
    <t xml:space="preserve">L10_C7_B21_VD114_SA_A</t>
  </si>
  <si>
    <t xml:space="preserve">Bán kính đường tròn thoả điều kiện</t>
  </si>
  <si>
    <t xml:space="preserve">Đường tròn có tâm $I\left(-2;\ -3\right)$ và tiếp xúc với đường thẳng $\Delta: 5x + 12y + 72 = 0$. Tính bán kính của đường tròn.</t>
  </si>
  <si>
    <t xml:space="preserve">L10_C7_B21_VD117_MC_A</t>
  </si>
  <si>
    <t xml:space="preserve">Bài toán chuyển động tròn trong Vật lí</t>
  </si>
  <si>
    <t xml:space="preserve">Vận dụng được kiến thức về phương trình đường tròn để giải một số bài toán liên quan đến thực tiễn.</t>
  </si>
  <si>
    <t xml:space="preserve">Một vệ tinh chuyển động tròn đều quanh tâm $I\left(-2;\ 1\right)$ trong mặt phẳng toạ độ $Oxy$ (đơn vị trên mỗi trục là nghìn ki-lô-mét). Tại một thời điểm, vệ tinh ở vị trí $M\left(2;\ 4\right)$. Viết phương trình quỹ đạo của vệ tinh.</t>
  </si>
  <si>
    <t xml:space="preserve">L10_C7_B21_VD117_SA_A</t>
  </si>
  <si>
    <t xml:space="preserve">Bài toán thực tiễn về vùng phủ sóng dạng đường tròn</t>
  </si>
  <si>
    <t xml:space="preserve">Một trạm phát sóng đặt tại vị trí $I\left(-4;\ 3\right)$ (đơn vị: km) phủ sóng trong bán kính $10$ km. Ranh giới vùng phủ sóng là đường tròn có phương trình $x^2 + y^2 - 2ax - 2by + c = 0$. Tính $c$.</t>
  </si>
  <si>
    <t xml:space="preserve">L10_C7_B22_VD123_MC_A</t>
  </si>
  <si>
    <t xml:space="preserve">Hiện tượng Quang học gắn với đường conic</t>
  </si>
  <si>
    <t xml:space="preserve">Giải quyết được một số vấn đề thực tiễn gắn với ba đường conic.</t>
  </si>
  <si>
    <t xml:space="preserve">Mặt cắt của một chảo ăng-ten (hoặc đèn pha ô tô) có dạng parabol với phương trình $y^2 = 8x$ (đơn vị: xăng-ti-mét) trong hệ trục đã chọn. Bộ thu tín hiệu được đặt tại tiêu điểm của parabol. Hỏi bộ thu cách đỉnh chảo bao nhiêu?</t>
  </si>
  <si>
    <t xml:space="preserve">L10_C7_B22_VD123_SA_A</t>
  </si>
  <si>
    <t xml:space="preserve">Bài toán thực tiễn về cổng vòm dạng nửa elip</t>
  </si>
  <si>
    <t xml:space="preserve">Một cổng vòm có dạng nửa elip với chiều rộng đáy bằng $20$ m và chiều cao ở giữa bằng $3$ m. Tính chiều cao của cổng tại vị trí cách tâm đáy $6$ m (đơn vị: m).</t>
  </si>
  <si>
    <t xml:space="preserve">L10_C7_B22_VD124_MC_A</t>
  </si>
  <si>
    <t xml:space="preserve">Bài toán thực tiễn dùng phương pháp toạ độ</t>
  </si>
  <si>
    <t xml:space="preserve">Vận dụng được kiến thức về phương pháp toạ độ trong mặt phẳng để giải một số bài toán có nội dung thực tiễn.</t>
  </si>
  <si>
    <t xml:space="preserve">Trên bản đồ đặt trong mặt phẳng toạ độ $Oxy$ (đơn vị: ki-lô-mét), một con đường thẳng có phương trình $6x + 8y + 9 = 0$ và một trạm cứu hộ đặt tại điểm $A\left(6;\ 6\right)$. Tính khoảng cách ngắn nhất từ trạm cứu hộ tới con đường.</t>
  </si>
  <si>
    <t xml:space="preserve">L10_C7_B22_VD124_SA_A</t>
  </si>
  <si>
    <t xml:space="preserve">Khoảng cách ngắn nhất từ một điểm đến đường đi thẳng</t>
  </si>
  <si>
    <t xml:space="preserve">Một con tàu chạy thẳng theo đường có phương trình $4x + 3y + 8 = 0$ trong hệ toạ độ $Oxy$ (đơn vị: km). Một hòn đảo nằm ở vị trí $M\left(-6;\ 0\right)$. Tính khoảng cách ngắn nhất từ hòn đảo đến đường đi của tàu (đơn vị: km).</t>
  </si>
  <si>
    <t xml:space="preserve">L10_C8_B23_VD130_MC_A</t>
  </si>
  <si>
    <t xml:space="preserve">Bài toán đếm thực tiễn dùng quy tắc cộng và nhân</t>
  </si>
  <si>
    <t xml:space="preserve">Vận dụng được quy tắc cộng và quy tắc nhân trong một số tình huống thực tiễn.</t>
  </si>
  <si>
    <t xml:space="preserve">Từ thành phố $A$ đến thành phố $C$ bắt buộc phải đi qua thành phố $B$. Từ $A$ đến $B$ có $3$ tuyến đường bộ và $2$ tuyến đường thuỷ; từ $B$ đến $C$ có $5$ tuyến đường bộ. Hỏi có bao nhiêu cách đi từ $A$ đến $C$?</t>
  </si>
  <si>
    <t xml:space="preserve">L10_C8_B23_VD130_MC_B</t>
  </si>
  <si>
    <t xml:space="preserve">Đếm số tự nhiên có chữ số khác nhau và chia hết cho 5</t>
  </si>
  <si>
    <t xml:space="preserve">Từ các chữ số $0$; $1$; $2$; $3$; $4$, lập được bao nhiêu số tự nhiên có ba chữ số ĐÔI MỘT KHÁC NHAU và chia hết cho $5$?</t>
  </si>
  <si>
    <t xml:space="preserve">L10_C8_B23_VD130_SA_A</t>
  </si>
  <si>
    <t xml:space="preserve">Từ thành phố $A$ đến thành phố $C$ bắt buộc phải đi qua thành phố $B$. Từ $A$ đến $B$ có $4$ tuyến xe khách và $3$ tuyến tàu hoả; từ $B$ đến $C$ có $4$ tuyến xe khách. Hỏi có bao nhiêu cách đi từ $A$ đến $C$?</t>
  </si>
  <si>
    <t xml:space="preserve">L10_C8_B23_VD130_SA_B</t>
  </si>
  <si>
    <t xml:space="preserve">Đếm số tự nhiên có ràng buộc về vị trí chữ số</t>
  </si>
  <si>
    <t xml:space="preserve">Có bao nhiêu số tự nhiên có $5$ chữ số mà các chữ số cách đều chữ số đứng giữa thì giống nhau?</t>
  </si>
  <si>
    <t xml:space="preserve">L10_C8_B24_VD138_MC_A</t>
  </si>
  <si>
    <t xml:space="preserve">Bài toán đếm thực tiễn dùng hoán vị, chỉnh hợp, tổ hợp</t>
  </si>
  <si>
    <t xml:space="preserve">Vận dụng được kiến thức về hoán vị, chỉnh hợp, tổ hợp vào giải các bài toán đếm trong các tình huống thực tiễn.</t>
  </si>
  <si>
    <t xml:space="preserve">Một câu lạc bộ có $10$ thành viên. Cần chọn ra $3$ bạn cùng tham gia một đội tình nguyện. Hỏi có bao nhiêu cách?</t>
  </si>
  <si>
    <t xml:space="preserve">Có vẻ thấp hơn VD: chỉ tính một tổ hợp (C(10;3)).</t>
  </si>
  <si>
    <t xml:space="preserve">L10_C8_B24_VD138_MC_B</t>
  </si>
  <si>
    <t xml:space="preserve">Số đường chéo của đa giác lồi</t>
  </si>
  <si>
    <t xml:space="preserve">Một đa giác lồi có $8$ cạnh thì có bao nhiêu đường chéo?</t>
  </si>
  <si>
    <t xml:space="preserve">Có vẻ thấp hơn VD: áp dụng thẳng công thức số đường chéo.</t>
  </si>
  <si>
    <t xml:space="preserve">L10_C8_B24_VD138_SA_A</t>
  </si>
  <si>
    <t xml:space="preserve">Đếm số cách chọn nhóm có điều kiện về thành phần</t>
  </si>
  <si>
    <t xml:space="preserve">Một tổ có $7$ học sinh nam và $9$ học sinh nữ. Cần chọn một nhóm gồm $3$ học sinh, trong đó có \textbf{đúng $2$ nam và $1$ nữ}, các bạn trong nhóm có vai trò như nhau. Hỏi có bao nhiêu cách chọn?</t>
  </si>
  <si>
    <t xml:space="preserve">L10_C8_B24_VD138_SA_B</t>
  </si>
  <si>
    <t xml:space="preserve">Đếm tam giác từ tập điểm có điểm thẳng hàng</t>
  </si>
  <si>
    <t xml:space="preserve">Cho hai đường thẳng song song $a$ và $b$. Trên đường thẳng $a$ lấy $4$ điểm phân biệt, trên đường thẳng $b$ lấy $5$ điểm phân biệt. Hỏi có bao nhiêu tam giác mà ba đỉnh là ba trong các điểm đó?</t>
  </si>
  <si>
    <t xml:space="preserve">L10_C8_B25_VD141_MC_A</t>
  </si>
  <si>
    <t xml:space="preserve">Tìm hệ số của một số hạng trong khai triển</t>
  </si>
  <si>
    <t xml:space="preserve">Tìm được hệ số của x^k trong khai triển nhị thức Newton (a + b)^n.</t>
  </si>
  <si>
    <t xml:space="preserve">Tìm hệ số của $x^{3}$ trong khai triển của biểu thức $P(x) = \left(1 + 1x\right)^{4} + \left(1 + 1x\right)^{5}$.</t>
  </si>
  <si>
    <t xml:space="preserve">Lỗi hiển thị trong đề mẫu: "(1 + 1x)" (thừa hệ số 1).</t>
  </si>
  <si>
    <t xml:space="preserve">L10_C8_B25_VD141_SA_A</t>
  </si>
  <si>
    <t xml:space="preserve">Hệ số của số hạng chứa x mũ k</t>
  </si>
  <si>
    <t xml:space="preserve">Tính tổng tất cả các hệ số trong khai triển của $\left(1 + 2x\right)^{4}$.</t>
  </si>
  <si>
    <t xml:space="preserve">L10_C9_B27_VD155_MC_A</t>
  </si>
  <si>
    <t xml:space="preserve">Bài toán xác suất thực tiễn dùng tổ hợp</t>
  </si>
  <si>
    <t xml:space="preserve">Vận dụng được định nghĩa cổ điển của xác suất vào giải quyết một số bài toán thực tiễn đơn giản.</t>
  </si>
  <si>
    <t xml:space="preserve">Từ các chữ số 1, 2, 3, 4, 5, 8, 9, lập các số có 4 chữ số khác nhau. Chọn hai số trong các số có bốn chữ số đó. Tính xác suất để tích hai số được chọn là số lẻ. (Làm tròn đến hàng phần chục)</t>
  </si>
  <si>
    <t xml:space="preserve">Đếm hai tầng (lập số rồi chọn hai số) trước khi tính xác suất.</t>
  </si>
  <si>
    <t xml:space="preserve">L10_C9_B27_VD155_MC_B</t>
  </si>
  <si>
    <t xml:space="preserve">Lập số tự nhiên từ các chữ số cho trước rồi tính xác suất</t>
  </si>
  <si>
    <t xml:space="preserve">Từ các chữ số 1, 2, 3, 4, 5, 8, 9, lập các số tự nhiên có 4 chữ số. Chọn hai số trong các số có 4 chữ số đó. Tính xác suất để hai số được chọn này, mỗi số đều là số có 4 chữ số khác nhau. (Làm tròn đến hàng phần trăm)</t>
  </si>
  <si>
    <t xml:space="preserve">Như MC_A: đếm hai tầng rồi tính xác suất.</t>
  </si>
  <si>
    <t xml:space="preserve">L10_C9_B27_VD155_SA_A</t>
  </si>
  <si>
    <t xml:space="preserve">Chọn ngẫu nhiên điểm có toạ độ nguyên, tính xác suất</t>
  </si>
  <si>
    <t xml:space="preserve">Trong hệ trục tọa độ $Oxy$ cho $A(-5;0)$, $B(-5;4)$, $C(4;4)$, $D(4;0)$. Chọn ngẫu nhiên một điểm có tọa độ $(x;y)$; (với $x,y$ là các số nguyên) nằm trong hình chữ nhật $ABCD$ (kể cả các điểm nằm trên cạnh). Tính xác suất để $x$ và $y$ chia hết cho $2$.</t>
  </si>
  <si>
    <t xml:space="preserve">L11_C1_B2_VD014_MC_A</t>
  </si>
  <si>
    <t xml:space="preserve">Vấn đề thực tiễn gắn với giá trị lượng giác của góc lượng giác</t>
  </si>
  <si>
    <t xml:space="preserve">Giải quyết được một số vấn đề thực tiễn gắn với giá trị lượng giác của góc lượng giác và các phép biến đổi lượng giác.</t>
  </si>
  <si>
    <t xml:space="preserve">Một chiếc guồng nước quay đều, trục của guồng cách mặt nước $3$ mét, bán kính guồng bằng $6$ mét (xem hình). Độ cao của một chiếc gàu so với mặt nước (tính bằng mét, quy ước âm khi gàu ở dưới mặt nước) tại thời điểm $t$ phút được cho bởi $h\left(t\right) = 3 + 6\sin\dfrac{2\pi t}{4}$. Tính độ cao đó tại thời điểm $t = \dfrac{5}{3}$ phút.} {[hình]}</t>
  </si>
  <si>
    <t xml:space="preserve">L11_C1_B2_VD014_SA_A</t>
  </si>
  <si>
    <t xml:space="preserve">Giá trị lượng giác trong bài toán guồng nước</t>
  </si>
  <si>
    <t xml:space="preserve">Một chiếc guồng nước quay đều, trục của guồng cách mặt nước $3$ mét, bán kính guồng bằng $6$ mét (xem hình). Độ cao của một chiếc gàu so với mặt nước (tính bằng mét, quy ước âm khi gàu ở dưới mặt nước) tại thời điểm $t$ phút được cho bởi $h\left(t\right) = 3 + 6\sin\dfrac{2\pi t}{4}$. Tính $h$ tại thời điểm $t = \dfrac{5}{3}$ phút (đơn vị: mét).} {[hình]}</t>
  </si>
  <si>
    <t xml:space="preserve">L11_C1_B3_VD021_MC_A</t>
  </si>
  <si>
    <t xml:space="preserve">Vấn đề thực tiễn gắn với hàm số lượng giác</t>
  </si>
  <si>
    <t xml:space="preserve">Giải quyết được một số vấn đề thực tiễn gắn với hàm số lượng giác.</t>
  </si>
  <si>
    <t xml:space="preserve">Một vật dao động điều hoà có li độ (tính bằng xentimét) ở thời điểm $t$ giây được cho bởi $x\left(t\right) = 4\cos\left(4\pi t\right)$. Tính li độ của vật tại thời điểm $t = \dfrac{1}{12}$ giây.</t>
  </si>
  <si>
    <t xml:space="preserve">L11_C1_B3_VD021_SA_A</t>
  </si>
  <si>
    <t xml:space="preserve">Li độ của vật dao động điều hoà</t>
  </si>
  <si>
    <t xml:space="preserve">Một vật dao động điều hoà có li độ (tính bằng xentimét) ở thời điểm $t$ giây được cho bởi $x\left(t\right) = 4\cos\left(4\pi t\right)$. Tính li độ của vật tại thời điểm $t = \dfrac{1}{12}$ giây (đơn vị: cm).</t>
  </si>
  <si>
    <t xml:space="preserve">L11_C1_B4_VD028_MC_A</t>
  </si>
  <si>
    <t xml:space="preserve">Vấn đề thực tiễn gắn với phương trình lượng giác</t>
  </si>
  <si>
    <t xml:space="preserve">Giải quyết được một số vấn đề thực tiễn gắn với phương trình lượng giác.</t>
  </si>
  <si>
    <t xml:space="preserve">Một chiếc guồng nước quay đều, trục của guồng cách mặt nước $3$ mét, bán kính guồng bằng $6$ mét (xem hình). Độ cao của một chiếc gàu so với mặt nước (tính bằng mét, quy ước âm khi gàu ở dưới mặt nước) tại thời điểm $t$ phút được cho bởi $h\left(t\right) = 3 + 6\sin\dfrac{2\pi t}{6}$. Hỏi LẦN ĐẦU TIÊN độ cao đó bằng $6$ mét là ở thời điểm nào?} {[hình]}</t>
  </si>
  <si>
    <t xml:space="preserve">L11_C1_B4_VD028_SA_A</t>
  </si>
  <si>
    <t xml:space="preserve">Thời điểm đầu tiên thoả mãn điều kiện cho trước</t>
  </si>
  <si>
    <t xml:space="preserve">Một vật dao động điều hoà có li độ (tính bằng xentimét) ở thời điểm $t$ giây được cho bởi $x\left(t\right) = 4\cos\dfrac{2\pi t}{24}$. Hỏi lần đầu tiên vật có li độ bằng $2$ cm là ở thời điểm nào (đơn vị: giây)?</t>
  </si>
  <si>
    <t xml:space="preserve">L11_C2_B6_VD035_MC_A</t>
  </si>
  <si>
    <t xml:space="preserve">Vấn đề thực tiễn gắn với cấp số cộng</t>
  </si>
  <si>
    <t xml:space="preserve">Giải quyết được một số vấn đề thực tiễn gắn với cấp số cộng.</t>
  </si>
  <si>
    <t xml:space="preserve">Một nhà hát có 15 hàng ghế. Hàng thứ nhất có 17 ghế, mỗi hàng sau nhiều hơn hàng liền trước 2 ghế. Hỏi hàng thứ $15$ có bao nhiêu ghế?</t>
  </si>
  <si>
    <t xml:space="preserve">L11_C2_B6_VD035_SA_A</t>
  </si>
  <si>
    <t xml:space="preserve">Tổng n số hạng đầu của cấp số cộng</t>
  </si>
  <si>
    <t xml:space="preserve">Một nhà hát có 15 hàng ghế. Hàng thứ nhất có 17 ghế, mỗi hàng sau nhiều hơn hàng liền trước 2 ghế. Tính tổng số ghế của cả $15$ hàng.</t>
  </si>
  <si>
    <t xml:space="preserve">L11_C2_B7_VD039_MC_A</t>
  </si>
  <si>
    <t xml:space="preserve">Vấn đề thực tiễn gắn với cấp số nhân</t>
  </si>
  <si>
    <t xml:space="preserve">Giải quyết được một số vấn đề thực tiễn gắn với cấp số nhân.</t>
  </si>
  <si>
    <t xml:space="preserve">Một loại vi khuẩn ban đầu có 10 con, cứ sau mỗi giờ thì số vi khuẩn tăng lên gấp 2 lần. Hỏi sau giờ thứ $7$ thì số vi khuẩn bằng bao nhiêu con?</t>
  </si>
  <si>
    <t xml:space="preserve">Có vẻ thấp hơn VD: tính một số hạng của cấp số nhân.</t>
  </si>
  <si>
    <t xml:space="preserve">L11_C2_B7_VD039_SA_A</t>
  </si>
  <si>
    <t xml:space="preserve">Tổng n số hạng đầu của cấp số nhân</t>
  </si>
  <si>
    <t xml:space="preserve">Một loại vi khuẩn ban đầu có 2 con, cứ sau mỗi giờ thì số vi khuẩn tăng lên gấp 3 lần. Tính tổng số vi khuẩn của $6$ giờ đầu tiên (đơn vị: con).</t>
  </si>
  <si>
    <t xml:space="preserve">L11_C3_B9_VD046_MC_A</t>
  </si>
  <si>
    <t xml:space="preserve">Kết luận nhờ ý nghĩa của các số đặc trưng đo xu thế trung tâm</t>
  </si>
  <si>
    <t xml:space="preserve">Rút ra được kết luận nhờ ý nghĩa của các số đặc trưng đo xu thế trung tâm của mẫu số liệu ghép nhóm.</t>
  </si>
  <si>
    <t xml:space="preserve">Khảo sát cân nặng của học sinh lớp 11A ở hai nhóm $A$ và $B$ (đơn vị: kg), người ta thu được kết quả sau.\\ Nhóm $A$ (cỡ mẫu $24$): $\left[40;\ 45\right)$ có $2$ giá trị; $\left[45;\ 50\right)$ có $9$ giá trị; $\left[50;\ 55\right)$ có $5$ giá trị; $\left[55;\ 60\right)$ có $8$ giá trị.\\ Nhóm $B$ (cỡ mẫu $32$): $\left[40;\ 45\right)$ có $10$ giá trị; $\left[45;\ 50\right)$ có $12$ giá trị; $\left[50;\ 55\right)$ có </t>
  </si>
  <si>
    <t xml:space="preserve">L11_C3_B9_VD046_SA_A</t>
  </si>
  <si>
    <t xml:space="preserve">Chênh lệch số trung bình của hai mẫu số liệu ghép nhóm</t>
  </si>
  <si>
    <t xml:space="preserve">L11_C4_B10_VD052_MC_A</t>
  </si>
  <si>
    <t xml:space="preserve">Tính chất về giao tuyến của hai mặt phẳng, giao điểm của đường</t>
  </si>
  <si>
    <t xml:space="preserve">Vận dụng được các tính chất về giao tuyến của hai mặt phẳng, giao điểm của đường thẳng và mặt phẳng vào giải bài tập.</t>
  </si>
  <si>
    <t xml:space="preserve">Cho hình chóp $S.ABCD$ có đáy là hình bình hành. Gọi $M$, $N$ lần lượt là trung điểm của $SB$, $SD$. Thiết diện của hình chóp cắt bởi mặt phẳng $\left(AMN\right)$ là đa giác có bao nhiêu cạnh?} {[hình]}</t>
  </si>
  <si>
    <t xml:space="preserve">Phải tự dựng thiết diện (tìm giao tuyến qua điểm phụ) mới đếm được số cạnh.</t>
  </si>
  <si>
    <t xml:space="preserve">L11_C4_B10_VD052_SA_A</t>
  </si>
  <si>
    <t xml:space="preserve">Đếm cạnh chéo nhau, mặt phẳng trong hình không gian</t>
  </si>
  <si>
    <t xml:space="preserve">Cho hình tứ diện $ABCD$. Có bao nhiêu mặt phẳng đi qua ba trong bốn đỉnh của tứ diện?} {[hình]}</t>
  </si>
  <si>
    <t xml:space="preserve">Có vẻ thấp hơn VD: số mặt phẳng qua ba trong bốn đỉnh tứ diện.</t>
  </si>
  <si>
    <t xml:space="preserve">L11_C4_B10_VD054_MC_A</t>
  </si>
  <si>
    <t xml:space="preserve">Kiến thức về đường thẳng, mặt phẳng trong không gian</t>
  </si>
  <si>
    <t xml:space="preserve">Vận dụng được kiến thức về đường thẳng, mặt phẳng trong không gian để mô tả một số hình ảnh trong thực tiễn.</t>
  </si>
  <si>
    <t xml:space="preserve">Trong không gian cho $5$ điểm phân biệt, trong đó không có bốn điểm nào đồng phẳng. Có bao nhiêu mặt phẳng đi qua ba trong $5$ điểm đó?</t>
  </si>
  <si>
    <t xml:space="preserve">Có vẻ thấp hơn VD: tính C(5;3).</t>
  </si>
  <si>
    <t xml:space="preserve">L11_C4_B10_VD054_SA_A</t>
  </si>
  <si>
    <t xml:space="preserve">Số mặt phẳng đi qua ba trong n điểm</t>
  </si>
  <si>
    <t xml:space="preserve">Trong không gian cho $5$ điểm phân biệt, trong đó không có bốn điểm nào đồng phẳng. Hỏi có bao nhiêu mặt phẳng đi qua ba trong $5$ điểm đó?</t>
  </si>
  <si>
    <t xml:space="preserve">L11_C4_B11_VD057_MC_A</t>
  </si>
  <si>
    <t xml:space="preserve">Kiến thức về hai đường thẳng song song</t>
  </si>
  <si>
    <t xml:space="preserve">Vận dụng được kiến thức về hai đường thẳng song song để mô tả một số hình ảnh trong thực tiễn.</t>
  </si>
  <si>
    <t xml:space="preserve">Cho hình tứ diện $ABCD$. Gọi $M$, $N$, $P$, $Q$ lần lượt là trung điểm của $AB$, $BC$, $CD$, $DA$. Tứ giác $MNPQ$ là hình gì?} {[hình]}</t>
  </si>
  <si>
    <t xml:space="preserve">L11_C4_B11_VD057_SA_A</t>
  </si>
  <si>
    <t xml:space="preserve">Độ dài đoạn nối trung điểm trong tứ diện</t>
  </si>
  <si>
    <t xml:space="preserve">Cho hình tứ diện $ABCD$ có $AC = 6$. Gọi $M$, $N$ lần lượt là trung điểm của $AB$ và $BC$. Tính độ dài đoạn thẳng $MN$.} {[hình]}</t>
  </si>
  <si>
    <t xml:space="preserve">L11_C4_B12_VD061_MC_A</t>
  </si>
  <si>
    <t xml:space="preserve">Kiến thức về đường thẳng song song với mặt phẳng</t>
  </si>
  <si>
    <t xml:space="preserve">Vận dụng được kiến thức về đường thẳng song song với mặt phẳng để mô tả một số hình ảnh trong thực tiễn.</t>
  </si>
  <si>
    <t xml:space="preserve">Cho hình chóp $S.ABCD$ có đáy là hình bình hành. Gọi $M$ là trung điểm $SA$. Mặt phẳng $\left(MBC\right)$ cắt $SD$ tại $N$. Khi đó $MN$ và $BC$} {[hình]}</t>
  </si>
  <si>
    <t xml:space="preserve">L11_C4_B12_VD061_SA_A</t>
  </si>
  <si>
    <t xml:space="preserve">Độ dài giao tuyến song song với cạnh đáy</t>
  </si>
  <si>
    <t xml:space="preserve">Cho hình chóp $S.ABCD$ có đáy $ABCD$ là hình bình hành với $BC = 10$. Gọi $M$ là trung điểm $SA$. Mặt phẳng $\left(MBC\right)$ cắt $SD$ tại $N$. Tính độ dài $MN$.} {[hình]}</t>
  </si>
  <si>
    <t xml:space="preserve">L11_C4_B13_VD067_MC_A</t>
  </si>
  <si>
    <t xml:space="preserve">Kiến thức về quan hệ song song</t>
  </si>
  <si>
    <t xml:space="preserve">Vận dụng được kiến thức về quan hệ song song để mô tả một số hình ảnh trong thực tiễn.</t>
  </si>
  <si>
    <t xml:space="preserve">Cho hình hộp $ABCD.A'B'C'D'$. Khẳng định nào sau đây ĐÚNG?} {[hình]}</t>
  </si>
  <si>
    <t xml:space="preserve">L11_C4_B13_VD067_SA_A</t>
  </si>
  <si>
    <t xml:space="preserve">Độ dài trong thiết diện song song với đáy</t>
  </si>
  <si>
    <t xml:space="preserve">Cho hình chóp $S.ABCD$ có đáy $ABCD$ là hình bình hành với $AB = 9$. Trên cạnh $SA$ lấy điểm $M$ sao cho $\dfrac{SM}{SA} = \dfrac{3}{4}$. Mặt phẳng qua $M$ và song song với $\left(ABCD\right)$ cắt $SB$ tại $N$. Tính độ dài $MN$.} {[hình]}</t>
  </si>
  <si>
    <t xml:space="preserve">L11_C4_B14_VD071_MC_A</t>
  </si>
  <si>
    <t xml:space="preserve">Kiến thức về phép chiếu song song</t>
  </si>
  <si>
    <t xml:space="preserve">Sử dụng được kiến thức về phép chiếu song song để mô tả một số hình ảnh trong thực tiễn.</t>
  </si>
  <si>
    <t xml:space="preserve">Cho ba điểm $A$, $B$, $C$ thẳng hàng với $\dfrac{AB}{AC} = \dfrac{1}{3}$. Gọi $A'$, $B'$, $C'$ lần lượt là ảnh của $A$, $B$, $C$ qua một phép chiếu song song (phương chiếu không song song với đường thẳng $AC$). Tính $\dfrac{A'B'}{A'C'}$.</t>
  </si>
  <si>
    <t xml:space="preserve">L11_C4_B14_VD071_SA_A</t>
  </si>
  <si>
    <t xml:space="preserve">Độ dài ảnh qua phép chiếu song song</t>
  </si>
  <si>
    <t xml:space="preserve">Cho ba điểm $A$, $B$, $C$ thẳng hàng với $\dfrac{AB}{AC} = \dfrac{1}{5}$. Qua một phép chiếu song song, ba điểm đó có ảnh lần lượt là $A'$, $B'$, $C'$ và $A'C' = 4$. Tính $A'B'$.</t>
  </si>
  <si>
    <t xml:space="preserve">L11_C5_B15_VD075_MC_A</t>
  </si>
  <si>
    <t xml:space="preserve">Tổng của một cấp số nhân lùi vô hạn</t>
  </si>
  <si>
    <t xml:space="preserve">Tính được tổng của một cấp số nhân lùi vô hạn và vận dụng được kết quả đó để giải quyết một số tình huống thực tiễn.</t>
  </si>
  <si>
    <t xml:space="preserve">Tính tổng của cấp số nhân lùi vô hạn có số hạng đầu $u_1 = 3$ và công bội $q = -\dfrac{1}{2}$.</t>
  </si>
  <si>
    <t xml:space="preserve">Có vẻ thấp hơn VD: thay thẳng công thức tổng.</t>
  </si>
  <si>
    <t xml:space="preserve">L11_C5_B15_VD075_SA_A</t>
  </si>
  <si>
    <t xml:space="preserve">Tổng của cấp số nhân lùi vô hạn</t>
  </si>
  <si>
    <t xml:space="preserve">Tính tổng của cấp số nhân lùi vô hạn có số hạng đầu $u_1 = 4$ và công bội $q = \dfrac{1}{3}$.</t>
  </si>
  <si>
    <t xml:space="preserve">L11_C5_B16_VD080_MC_A</t>
  </si>
  <si>
    <t xml:space="preserve">Vấn đề thực tiễn gắn với giới hạn hàm số</t>
  </si>
  <si>
    <t xml:space="preserve">Giải quyết được một số vấn đề thực tiễn gắn với giới hạn hàm số.</t>
  </si>
  <si>
    <t xml:space="preserve">Nồng độ của một loại muối trong dung dịch sau $t$ phút khuấy đều được cho bởi công thức $C(t) = \dfrac{3t}{t + 2}$ (đơn vị: mg/l). Nếu quá trình khuấy kéo dài vô hạn thì nồng độ muối tiến tới giá trị nào?</t>
  </si>
  <si>
    <t xml:space="preserve">L11_C5_B16_VD080_SA_A</t>
  </si>
  <si>
    <t xml:space="preserve">Giới hạn tại vô cực trong bài toán thực tiễn</t>
  </si>
  <si>
    <t xml:space="preserve">Số lượng vi khuẩn (đơn vị: nghìn con) trong một mẫu thí nghiệm sau $t$ giờ được cho bởi công thức $N\left(t\right) = \dfrac{4t}{t + 6}$. Khi thời gian nuôi cấy kéo dài vô hạn thì số lượng vi khuẩn tiến tới giá trị nào (đơn vị: nghìn con)?</t>
  </si>
  <si>
    <t xml:space="preserve">L11_C6_B18_VD088_MC_A</t>
  </si>
  <si>
    <t xml:space="preserve">Vấn đề có liên quan đến môn học khác hoặc có liên quan đến thực</t>
  </si>
  <si>
    <t xml:space="preserve">Giải quyết được một số vấn đề có liên quan đến môn học khác hoặc có liên quan đến thực tiễn gắn với phép tính luỹ thừa.</t>
  </si>
  <si>
    <t xml:space="preserve">Một người gửi tiết kiệm $150$ triệu đồng theo thể thức lãi kép với lãi suất $50\%$ một năm. Sau $2$ năm, số tiền cả vốn lẫn lãi người đó nhận được là</t>
  </si>
  <si>
    <t xml:space="preserve">Số liệu chưa thực tế: lãi suất 50%/năm.</t>
  </si>
  <si>
    <t xml:space="preserve">L11_C6_B18_VD088_SA_A</t>
  </si>
  <si>
    <t xml:space="preserve">Giá trị biểu thức luỹ thừa bằng máy tính cầm tay</t>
  </si>
  <si>
    <t xml:space="preserve">Một người gửi tiết kiệm $150$ triệu đồng theo thể thức lãi kép với lãi suất $50\%$ một năm. Tính số tiền cả vốn lẫn lãi người đó nhận được sau $2$ năm (đơn vị: triệu đồng, làm tròn đến hàng phần trăm).</t>
  </si>
  <si>
    <t xml:space="preserve">L11_C6_B19_VD093_MC_A</t>
  </si>
  <si>
    <t xml:space="preserve">Giải quyết được một số vấn đề có liên quan đến môn học khác hoặc có liên quan đến thực tiễn gắn với phép tính lôgarit.</t>
  </si>
  <si>
    <t xml:space="preserve">Độ lớn $M$ (theo thang Richter) của một trận động đất được tính bởi công thức $M = \log\dfrac{I}{I_0}$, trong đó $I$ là cường độ của trận động đất và $I_0$ là cường độ chuẩn. Một trận động đất có cường độ gấp $10^{4}$ lần cường độ chuẩn thì có độ lớn bằng</t>
  </si>
  <si>
    <t xml:space="preserve">Có vẻ thấp hơn VD: log 10^4 = 4.</t>
  </si>
  <si>
    <t xml:space="preserve">L11_C6_B19_VD093_SA_A</t>
  </si>
  <si>
    <t xml:space="preserve">So sánh cường độ hai trận động đất theo thang Richter</t>
  </si>
  <si>
    <t xml:space="preserve">Độ lớn $M$ theo thang Richter của một trận động đất được tính bởi $M = \log\dfrac{I}{I_0}$, trong đó $I$ là cường độ trận động đất và $I_0$ là cường độ chuẩn. Trận động đất $A$ có độ lớn $6$, trận động đất $B$ có độ lớn $3$. Cường độ trận $A$ gấp bao nhiêu lần cường độ trận $B$?</t>
  </si>
  <si>
    <t xml:space="preserve">L11_C6_B20_VD097_MC_A</t>
  </si>
  <si>
    <t xml:space="preserve">Giải quyết được một số vấn đề có liên quan đến môn học khác hoặc có liên quan đến thực tiễn gắn với hàm số mũ và hàm số lôgarit.</t>
  </si>
  <si>
    <t xml:space="preserve">Một chất phóng xạ có khối lượng ban đầu $32$ gam và có chu kì bán rã $20$ ngày (cứ sau $20$ ngày thì khối lượng còn lại một nửa). Công thức tính khối lượng chất phóng xạ còn lại sau $t$ ngày là</t>
  </si>
  <si>
    <t xml:space="preserve">L11_C6_B20_VD097_SA_A</t>
  </si>
  <si>
    <t xml:space="preserve">Khối lượng chất phóng xạ còn lại sau một số chu kì bán rã</t>
  </si>
  <si>
    <t xml:space="preserve">Một chất phóng xạ có khối lượng ban đầu $8$ gam và có chu kì bán rã $10$ ngày. Hỏi sau $30$ ngày thì khối lượng chất phóng xạ còn lại bao nhiêu gam?</t>
  </si>
  <si>
    <t xml:space="preserve">L11_C6_B21_VD099_MC_A</t>
  </si>
  <si>
    <t xml:space="preserve">Giải quyết được một số vấn đề có liên quan đến môn học khác hoặc có liên quan đến thực tiễn gắn với phương trình, bất phương trình mũ và lôgarit.</t>
  </si>
  <si>
    <t xml:space="preserve">Số lượng vi khuẩn trong một mẫu thí nghiệm được cho bởi $N\left(t\right) = 500\cdot 2^{\,t}$ với $t$ tính bằng giờ. Sau bao lâu thì số vi khuẩn đạt $64000$ con?</t>
  </si>
  <si>
    <t xml:space="preserve">L11_C6_B21_VD099_SA_A</t>
  </si>
  <si>
    <t xml:space="preserve">Số năm gửi tiết kiệm theo lãi kép</t>
  </si>
  <si>
    <t xml:space="preserve">Một người gửi tiết kiệm $32$ triệu đồng theo thể thức lãi kép với lãi suất $25\%$ một năm. Hỏi sau bao nhiêu năm người đó nhận được $50$ triệu đồng?</t>
  </si>
  <si>
    <t xml:space="preserve">Số liệu chưa thực tế: lãi suất 25%/năm.</t>
  </si>
  <si>
    <t xml:space="preserve">L11_C7_B22_VD103_MC_A</t>
  </si>
  <si>
    <t xml:space="preserve">Kiến thức về hai đường thẳng vuông góc</t>
  </si>
  <si>
    <t xml:space="preserve">Sử dụng được kiến thức về hai đường thẳng vuông góc để mô tả một số hình ảnh trong thực tiễn.</t>
  </si>
  <si>
    <t xml:space="preserve">Cho hình lập phương $ABCD.A'B'C'D'$. Góc giữa hai đường thẳng $AB'$ và $BC'$ bằng} {[hình]}</t>
  </si>
  <si>
    <t xml:space="preserve">L11_C7_B22_VD103_SA_A</t>
  </si>
  <si>
    <t xml:space="preserve">Số đo góc giữa hai đường thẳng trong hình lập phương</t>
  </si>
  <si>
    <t xml:space="preserve">Cho hình lập phương $ABCD.A'B'C'D'$. Tính số đo góc giữa hai đường thẳng $AC$ và $B'D'$ (đơn vị: độ).} {[hình]}</t>
  </si>
  <si>
    <t xml:space="preserve">L11_C7_B23_VD108_MC_A</t>
  </si>
  <si>
    <t xml:space="preserve">Kiến thức về đường thẳng vuông góc với mặt phẳng</t>
  </si>
  <si>
    <t xml:space="preserve">Vận dụng được kiến thức về đường thẳng vuông góc với mặt phẳng để mô tả một số hình ảnh trong thực tiễn.</t>
  </si>
  <si>
    <t xml:space="preserve">Cho hình chóp $S.ABCD$ có $SA \perp \left(ABCD\right)$, đáy $ABCD$ là hình vuông. Số mặt bên của hình chóp là tam giác VUÔNG bằng} {[hình]}</t>
  </si>
  <si>
    <t xml:space="preserve">L11_C7_B23_VD108_SA_A</t>
  </si>
  <si>
    <t xml:space="preserve">Độ dài cạnh bên của hình chóp có cạnh vuông góc đáy</t>
  </si>
  <si>
    <t xml:space="preserve">Cho hình chóp $S.ABCD$ có đáy $ABCD$ là hình vuông cạnh $5$ và $SA \perp \left(ABCD\right)$ với $SA = 12$. Tính độ dài $SB$.} {[hình]}</t>
  </si>
  <si>
    <t xml:space="preserve">L11_C7_B25_VD119_MC_A</t>
  </si>
  <si>
    <t xml:space="preserve">Kiến thức về góc giữa đường thẳng và mặt phẳng, góc nhị diện</t>
  </si>
  <si>
    <t xml:space="preserve">Sử dụng được kiến thức về góc giữa đường thẳng và mặt phẳng, góc nhị diện để mô tả một số hình ảnh trong thực tiễn.</t>
  </si>
  <si>
    <t xml:space="preserve">Cho hình lập phương $ABCD.A'B'C'D'$. Góc giữa đường thẳng $AC'$ và mặt phẳng $\left(ABCD\right)$ có $\tan$ bằng} {[hình]}</t>
  </si>
  <si>
    <t xml:space="preserve">L11_C7_B25_VD119_SA_A</t>
  </si>
  <si>
    <t xml:space="preserve">Số đo góc giữa đường thẳng và mặt phẳng, góc nhị diện</t>
  </si>
  <si>
    <t xml:space="preserve">Cho hình lập phương $ABCD.A'B'C'D'$. Tính góc giữa đường thẳng $AA'$ và mặt phẳng $\left(ABCD\right)$ (đơn vị: độ).} {[hình]}</t>
  </si>
  <si>
    <t xml:space="preserve">Có vẻ thấp hơn VD: góc giữa AA' và (ABCD) là 90° hiển nhiên.</t>
  </si>
  <si>
    <t xml:space="preserve">L11_C7_B26_VD123_MC_A</t>
  </si>
  <si>
    <t xml:space="preserve">Khoảng cách giữa hai đường thẳng chéo nhau</t>
  </si>
  <si>
    <t xml:space="preserve">Tính được khoảng cách giữa hai đường thẳng chéo nhau.</t>
  </si>
  <si>
    <t xml:space="preserve">Cho hình chóp $S.ABCD$ có đáy $ABCD$ là hình vuông cạnh $3$, $SA \perp \left(ABCD\right)$ và $SA = 6$. Tính khoảng cách giữa hai đường thẳng chéo nhau $SA$ và $BC$.} {[hình]}</t>
  </si>
  <si>
    <t xml:space="preserve">L11_C7_B26_VD123_SA_A</t>
  </si>
  <si>
    <t xml:space="preserve">Cho hình chóp $S.ABCD$ có đáy $ABCD$ là hình vuông cạnh $3$, $SA \perp \left(ABCD\right)$ và $SA = 6$. Tính khoảng cách giữa hai đường thẳng $SA$ và $CD$.} {[hình]}</t>
  </si>
  <si>
    <t xml:space="preserve">L11_C7_B26_VD124_MC_A</t>
  </si>
  <si>
    <t xml:space="preserve">Kiến thức về khoảng cách trong không gian</t>
  </si>
  <si>
    <t xml:space="preserve">Sử dụng được kiến thức về khoảng cách trong không gian để mô tả một số hình ảnh trong thực tiễn.</t>
  </si>
  <si>
    <t xml:space="preserve">Cho hình lập phương $ABCD.A'B'C'D'$ cạnh $a$. Khoảng cách từ điểm $A$ đến mặt phẳng $\left(A'B'C'D'\right)$ bằng} {[hình]}</t>
  </si>
  <si>
    <t xml:space="preserve">Có vẻ thấp hơn VD: khoảng cách bằng cạnh a.</t>
  </si>
  <si>
    <t xml:space="preserve">L11_C7_B26_VD124_SA_A</t>
  </si>
  <si>
    <t xml:space="preserve">Khoảng cách trong hình lập phương</t>
  </si>
  <si>
    <t xml:space="preserve">Cho hình lập phương $ABCD.A'B'C'D'$ cạnh $6$. Tính khoảng cách giữa hai đường thẳng $AB$ và $CC'$.} {[hình]}</t>
  </si>
  <si>
    <t xml:space="preserve">Có vẻ thấp hơn VD: khoảng cách AB, CC' bằng cạnh.</t>
  </si>
  <si>
    <t xml:space="preserve">L11_C7_B27_VD129_MC_A</t>
  </si>
  <si>
    <t xml:space="preserve">Kiến thức về hình chóp cụt đều</t>
  </si>
  <si>
    <t xml:space="preserve">Vận dụng được kiến thức về hình chóp cụt đều để mô tả một số hình ảnh trong thực tiễn.</t>
  </si>
  <si>
    <t xml:space="preserve">Một khối chóp cụt đều có hai đáy là hai hình vuông cạnh $2$ và $4$, chiều cao bằng $9$. Tính thể tích của khối chóp ĐỀU ban đầu (trước khi cắt).</t>
  </si>
  <si>
    <t xml:space="preserve">Phải dùng tỉ số đồng dạng để tìm chiều cao khối chóp ban đầu, không có công thức sẵn.</t>
  </si>
  <si>
    <t xml:space="preserve">L11_C7_B27_VD129_SA_A</t>
  </si>
  <si>
    <t xml:space="preserve">Thể tích khối chóp cụt đều</t>
  </si>
  <si>
    <t xml:space="preserve">Tính thể tích khối chóp cụt đều có hai đáy là hai hình vuông cạnh $3$ và $6$, chiều cao bằng $3$.</t>
  </si>
  <si>
    <t xml:space="preserve">L11_C8_B28_VD149_MC_A</t>
  </si>
  <si>
    <t xml:space="preserve">Xác suất “có ít nhất một” của hai biến cố độc lập</t>
  </si>
  <si>
    <t xml:space="preserve">Vận dụng được biến cố đối và tính độc lập của các biến cố để tính xác suất của biến cố “có ít nhất một” trong một số bài toán thực tiễn.</t>
  </si>
  <si>
    <t xml:space="preserve">Hai học sinh $A$ và $B$ cùng giải một bài toán một cách độc lập. Xác suất để bạn $A$ giải đúng là $0,2$, xác suất để bạn $B$ giải đúng là $0,5$. Tính xác suất để có ít nhất một bạn giải đúng.</t>
  </si>
  <si>
    <t xml:space="preserve">L11_C8_B28_VD149_SA_A</t>
  </si>
  <si>
    <t xml:space="preserve">L11_C8_B29_VD150_MC_A</t>
  </si>
  <si>
    <t xml:space="preserve">Công thức cộng cho hai biến cố không xung khắc</t>
  </si>
  <si>
    <t xml:space="preserve">Vận dụng được công thức cộng xác suất để giải quyết một số bài toán thực tiễn với hai biến cố không xung khắc.</t>
  </si>
  <si>
    <t xml:space="preserve">Một nhà máy có hai dây chuyền sản xuất. Xác suất để dây chuyền thứ nhất hoạt động trong ngày là $0,3$, xác suất để dây chuyền thứ hai hoạt động là $0,2$, xác suất để cả hai dây chuyền cùng hoạt động là $0,2$. Tính xác suất để có ít nhất một dây chuyền hoạt động trong ngày.</t>
  </si>
  <si>
    <t xml:space="preserve">Số liệu nên chọn lại: P(cả hai) = P(dây chuyền thứ hai).</t>
  </si>
  <si>
    <t xml:space="preserve">L11_C8_B29_VD150_SA_A</t>
  </si>
  <si>
    <t xml:space="preserve">Xác suất của biến cố hợp trong bài toán thực tiễn</t>
  </si>
  <si>
    <t xml:space="preserve">Trong một khu phố, xác suất để một hộ gia đình được chọn ngẫu nhiên có mua bảo hiểm y tế là $0,3$, có mua bảo hiểm xe máy là $0,2$, mua cả hai loại là $0,1$. Tính xác suất để hộ đó mua ít nhất một loại bảo hiểm.</t>
  </si>
  <si>
    <t xml:space="preserve">L11_C8_B30_VD151_MC_A</t>
  </si>
  <si>
    <t xml:space="preserve">Xác suất qua nhiều giai đoạn độc lập</t>
  </si>
  <si>
    <t xml:space="preserve">Vận dụng được công thức nhân xác suất và sơ đồ hình cây để giải quyết bài toán thực tiễn gồm nhiều giai đoạn độc lập.</t>
  </si>
  <si>
    <t xml:space="preserve">Một sản phẩm phải đi qua ba công đoạn kiểm tra độc lập nhau. Xác suất để sản phẩm đạt ở công đoạn thứ nhất, thứ hai, thứ ba lần lượt là $0,3$, $0,2$, $0,5$. Tính xác suất để sản phẩm đạt cả ba công đoạn.</t>
  </si>
  <si>
    <t xml:space="preserve">L11_C8_B30_VD151_SA_A</t>
  </si>
  <si>
    <t xml:space="preserve">Xác suất tính bằng sơ đồ hình cây nhiều tầng</t>
  </si>
  <si>
    <t xml:space="preserve">Ba máy hoạt động độc lập với nhau. Xác suất để máy thứ nhất, thứ hai, thứ ba bị hỏng trong ngày lần lượt là $0,3$, $0,2$, $0,5$. Tính xác suất để trong ngày có ít nhất một máy bị hỏng.</t>
  </si>
  <si>
    <t xml:space="preserve">L11_C9_B32_VD145_MC_A</t>
  </si>
  <si>
    <t xml:space="preserve">Giải quyết được một số vấn đề có liên quan đến môn học khác hoặc có liên quan đến thực tiễn gắn với đạo hàm.</t>
  </si>
  <si>
    <t xml:space="preserve">Một chất điểm chuyển động thẳng có phương trình quãng đường $s(t) = t^{3} + 3t^{2} + 2t$, trong đó $s$ tính bằng mét và $t$ tính bằng giây. Tính vận tốc tức thời của chất điểm tại thời điểm $t = 3$ giây (đơn vị: m/s).</t>
  </si>
  <si>
    <t xml:space="preserve">Có vẻ thấp hơn VD: tính đạo hàm rồi thay số.</t>
  </si>
  <si>
    <t xml:space="preserve">L11_C9_B32_VD145_SA_A</t>
  </si>
  <si>
    <t xml:space="preserve">Vận tốc tức thời của chuyển động</t>
  </si>
  <si>
    <t xml:space="preserve">Một chất điểm chuyển động theo phương trình $s\left(t\right) = t^{3} + 3t^{2} + 2t$, trong đó $s$ tính bằng mét và $t$ tính bằng giây. Tính vận tốc tức thời của chất điểm tại thời điểm $t = 3$ giây (đơn vị: m/s).</t>
  </si>
  <si>
    <t xml:space="preserve">L11_C9_B33_VD148_MC_A</t>
  </si>
  <si>
    <t xml:space="preserve">Giải quyết được một số vấn đề có liên quan đến môn học khác hoặc có liên quan đến thực tiễn gắn với đạo hàm cấp hai.</t>
  </si>
  <si>
    <t xml:space="preserve">Một chất điểm chuyển động thẳng có phương trình quãng đường $s(t) = t^{3} + 3t^{2} + 2t$ ($s$ tính bằng mét, $t$ tính bằng giây). Tính gia tốc tức thời của chất điểm tại thời điểm $t = 3$ giây (đơn vị: m/s$^2$).</t>
  </si>
  <si>
    <t xml:space="preserve">Có vẻ thấp hơn VD: đạo hàm cấp hai rồi thay số.</t>
  </si>
  <si>
    <t xml:space="preserve">L11_C9_B33_VD148_SA_A</t>
  </si>
  <si>
    <t xml:space="preserve">Gia tốc tức thời của chuyển động</t>
  </si>
  <si>
    <t xml:space="preserve">Một chất điểm chuyển động theo phương trình $s\left(t\right) = t^{3} + 3t^{2} + 2t$, trong đó $s$ tính bằng mét và $t$ tính bằng giây. Tính gia tốc tức thời của chất điểm tại thời điểm $t = 3$ giây (đơn vị: m/s$^2$).</t>
  </si>
  <si>
    <t xml:space="preserve">L12_C1_B5_VD012_MC_A</t>
  </si>
  <si>
    <t xml:space="preserve">Đạo hàm và khảo sát hàm số</t>
  </si>
  <si>
    <t xml:space="preserve">Vận dụng được đạo hàm và khảo sát hàm số để giải quyết một số vấn đề liên quan đến thực tiễn.</t>
  </si>
  <si>
    <t xml:space="preserve">Chưa có hàm Python (chưa sinh được câu).</t>
  </si>
  <si>
    <t xml:space="preserve">L12_C2_B8_VD017_MC_A</t>
  </si>
  <si>
    <t xml:space="preserve">Toạ độ của vectơ để giải một số bài toán có liên quan đến thực</t>
  </si>
  <si>
    <t xml:space="preserve">Vận dụng được toạ độ của vectơ để giải một số bài toán có liên quan đến thực tiễn.</t>
  </si>
  <si>
    <t xml:space="preserve">Ba động cơ của một thiết bị bay cùng đẩy thiết bị. Trong một hệ toạ độ $Oxyz$ gắn với mặt đất, ba lực đẩy (đơn vị niutơn) lần lượt là $\vv{F_1} = \left(4; -2; -5\right)$, $\vv{F_2} = \left(7; -8; 4\right)$, $\vv{F_3} = \left(1; -14; -2\right)$. Tính độ lớn của hợp lực tác dụng lên thiết bị bay.</t>
  </si>
  <si>
    <t xml:space="preserve">L12_C2_B8_VD017_SA_A</t>
  </si>
  <si>
    <t xml:space="preserve">Độ lớn hợp lực trong bài toán thực tiễn dùng toạ độ</t>
  </si>
  <si>
    <t xml:space="preserve">Ba động cơ của một thiết bị bay cùng đẩy thiết bị. Trong một hệ toạ độ $Oxyz$ gắn với mặt đất, ba lực đẩy (đơn vị niutơn) lần lượt là $\vv{F_1} = \left(4; -2; -5\right)$, $\vv{F_2} = \left(7; -8; 4\right)$, $\vv{F_3} = \left(1; -14; -2\right)$. Tính độ lớn của hợp lực tác dụng lên thiết bị bay (đơn vị: niutơn).</t>
  </si>
  <si>
    <t xml:space="preserve">L12_C3_B10_VD023_MC_A</t>
  </si>
  <si>
    <t xml:space="preserve">Những kết luận nhờ ý nghĩa của các số đặc trưng đo mức độ phân</t>
  </si>
  <si>
    <t xml:space="preserve">Chỉ ra được những kết luận nhờ ý nghĩa của các số đặc trưng đo mức độ phân tán của mẫu số liệu ghép nhóm.</t>
  </si>
  <si>
    <t xml:space="preserve">L12_C4_B13_VD033_MC_A</t>
  </si>
  <si>
    <t xml:space="preserve">Tích phân để giải một số bài toán có liên quan đến thực tiễn</t>
  </si>
  <si>
    <t xml:space="preserve">Vận dụng được tích phân để giải một số bài toán có liên quan đến thực tiễn.</t>
  </si>
  <si>
    <t xml:space="preserve">L12_C5_B14_VD040_MC_A</t>
  </si>
  <si>
    <t xml:space="preserve">Kiến thức về phương trình mặt phẳng để giải một số bài toán</t>
  </si>
  <si>
    <t xml:space="preserve">Vận dụng được kiến thức về phương trình mặt phẳng để giải một số bài toán liên quan đến thực tiễn.</t>
  </si>
  <si>
    <t xml:space="preserve">L12_C5_B15_VD045_MC_A</t>
  </si>
  <si>
    <t xml:space="preserve">Kiến thức về phương trình đường thẳng trong không gian để giải</t>
  </si>
  <si>
    <t xml:space="preserve">Vận dụng được kiến thức về phương trình đường thẳng trong không gian để giải một số bài toán liên quan đến thực tiễn.</t>
  </si>
  <si>
    <t xml:space="preserve">L12_C5_B17_VD052_MC_A</t>
  </si>
  <si>
    <t xml:space="preserve">Kiến thức về phương trình mặt cầu để giải một số bài toán liên</t>
  </si>
  <si>
    <t xml:space="preserve">Vận dụng được kiến thức về phương trình mặt cầu để giải một số bài toán liên quan đến thực tiễn.</t>
  </si>
  <si>
    <t xml:space="preserve">L12_C6_B19_VD057_MC_A</t>
  </si>
  <si>
    <t xml:space="preserve">Công thức Bayes để tính xác suất có điều kiện</t>
  </si>
  <si>
    <t xml:space="preserve">Sử dụng được công thức Bayes để tính xác suất có điều kiện và vận dụng vào một số bài toán thực tiễn.</t>
  </si>
  <si>
    <t xml:space="preserve">Một lô hàng gồm $625$ sản phẩm, trong đó Phân xưởng I làm $250$ sản phẩm và Phân xưởng II làm $375$ sản phẩm. Trong số sản phẩm của Phân xưởng I có $25$ sản phẩm bị lỗi; trong số sản phẩm của Phân xưởng II có $15$ sản phẩm bị lỗi. Người ta lấy ngẫu nhiên một sản phẩm từ lô hàng. Biết sản phẩm lấy ra bị lỗi, tính xác suất sản phẩm đó do Phân xưởng I làm ra.</t>
  </si>
  <si>
    <t xml:space="preserve">L12_C6_B19_VD057_SA_A</t>
  </si>
  <si>
    <t xml:space="preserve">Xác suất tính bằng công thức Bayes</t>
  </si>
  <si>
    <t xml:space="preserve">Một kho linh kiện gồm $80$ linh kiện, trong đó Nhà máy A làm $40$ linh kiện và Nhà máy B làm $40$ linh kiện. Trong số linh kiện của Nhà máy A có $8$ linh kiện không đạt chuẩn; trong số linh kiện của Nhà máy B có $2$ linh kiện không đạt chuẩn. Người ta lấy ngẫu nhiên một linh kiện từ kho. Biết linh kiện lấy ra không đạt chuẩn, tính xác suất linh kiện đó do Nhà máy B làm ra.</t>
  </si>
  <si>
    <t xml:space="preserve">L12_C6_B19_VD058_MC_A</t>
  </si>
  <si>
    <t xml:space="preserve">Sơ đồ hình cây để tính xác suất có điều kiện trong một số bài</t>
  </si>
  <si>
    <t xml:space="preserve">Sử dụng được sơ đồ hình cây để tính xác suất có điều kiện trong một số bài toán thực tiễn liên quan tới thống kê.</t>
  </si>
  <si>
    <t xml:space="preserve">Một lô hàng gồm $625$ sản phẩm, trong đó Phân xưởng I làm $250$ sản phẩm và Phân xưởng II làm $375$ sản phẩm. Trong số sản phẩm của Phân xưởng I có $25$ sản phẩm bị lỗi; trong số sản phẩm của Phân xưởng II có $15$ sản phẩm bị lỗi. Người ta lấy ngẫu nhiên một sản phẩm từ lô hàng.\\ Sơ đồ hình cây bên mô tả phép chọn, trong đó $A$ là biến cố ``sản phẩm lấy ra bị lỗi''. Tính xác suất sản phẩm lấy ra bị lỗi.} {[hình]}</t>
  </si>
  <si>
    <t xml:space="preserve">L12_C6_B19_VD058_SA_A</t>
  </si>
  <si>
    <t xml:space="preserve">Đọc sơ đồ hình cây để tính xác suất toàn phần</t>
  </si>
  <si>
    <t xml:space="preserve">Một kho linh kiện gồm $125$ linh kiện, trong đó Nhà máy A làm $50$ linh kiện và Nhà máy B làm $75$ linh kiện. Trong số linh kiện của Nhà máy A có $5$ linh kiện không đạt chuẩn; trong số linh kiện của Nhà máy B có $15$ linh kiện không đạt chuẩn. Người ta lấy ngẫu nhiên một linh kiện từ kho.\\ Sơ đồ hình cây bên mô tả phép chọn, trong đó $A$ là biến cố ``linh kiện lấy ra không đạt chuẩn''. Tính $P\left(A\right)$.} {[hì</t>
  </si>
  <si>
    <t xml:space="preserve">Mục</t>
  </si>
  <si>
    <t xml:space="preserve">Số dạng</t>
  </si>
  <si>
    <t xml:space="preserve">Tổng số dạng MC/SA mức VD</t>
  </si>
  <si>
    <t xml:space="preserve">Em đề xuất VDC</t>
  </si>
  <si>
    <t xml:space="preserve">Cô đã duyệt (cột Cô duyệt có điền)</t>
  </si>
  <si>
    <t xml:space="preserve">Cô chọn VDC</t>
  </si>
  <si>
    <t xml:space="preserve">Mức VDC sau duyệt (điền đè lên đề xuất)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</si>
</sst>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1"/>
      <name val="Arial"/>
      <family val="0"/>
      <charset val="1"/>
    </font>
    <font>
      <sz val="10"/>
      <name val="Arial"/>
      <family val="0"/>
      <charset val="1"/>
    </font>
    <font>
      <b val="true"/>
      <sz val="10"/>
      <color rgb="FFC00000"/>
      <name val="Arial"/>
      <family val="0"/>
      <charset val="1"/>
    </font>
    <font>
      <sz val="11"/>
      <name val="Arial"/>
      <family val="0"/>
      <charset val="1"/>
    </font>
  </fonts>
  <fills count="5">
    <fill>
      <patternFill patternType="none"/>
    </fill>
    <fill>
      <patternFill patternType="gray125"/>
    </fill>
    <fill>
      <patternFill patternType="solid">
        <fgColor rgb="FFD9E1F2"/>
        <bgColor rgb="FFE2EFDA"/>
      </patternFill>
    </fill>
    <fill>
      <patternFill patternType="solid">
        <fgColor rgb="FFFFF2CC"/>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E1F2"/>
          <bgColor rgb="FF000000"/>
        </patternFill>
      </fill>
    </dxf>
    <dxf>
      <fill>
        <patternFill patternType="solid">
          <fgColor rgb="FFE2EFDA"/>
          <bgColor rgb="FF000000"/>
        </patternFill>
      </fill>
    </dxf>
    <dxf>
      <fill>
        <patternFill patternType="solid">
          <bgColor rgb="FF000000"/>
        </patternFill>
      </fill>
    </dxf>
    <dxf>
      <fill>
        <patternFill patternType="solid">
          <fgColor rgb="FFC00000"/>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
    <col collapsed="false" customWidth="true" hidden="false" outlineLevel="0" max="4" min="4" style="0" width="7"/>
    <col collapsed="false" customWidth="true" hidden="false" outlineLevel="0" max="5" min="5" style="0" width="6"/>
    <col collapsed="false" customWidth="true" hidden="false" outlineLevel="0" max="7" min="6" style="0" width="34"/>
    <col collapsed="false" customWidth="true" hidden="false" outlineLevel="0" max="8" min="8" style="0" width="8"/>
    <col collapsed="false" customWidth="true" hidden="false" outlineLevel="0" max="9" min="9" style="0" width="70"/>
    <col collapsed="false" customWidth="true" hidden="false" outlineLevel="0" max="10" min="10" style="0" width="8"/>
    <col collapsed="false" customWidth="true" hidden="false" outlineLevel="0" max="11" min="11" style="0" width="40"/>
    <col collapsed="false" customWidth="true" hidden="false" outlineLevel="0" max="12" min="12" style="0" width="34"/>
    <col collapsed="false" customWidth="true" hidden="false" outlineLevel="0" max="13" min="13" style="0" width="10"/>
    <col collapsed="false" customWidth="true" hidden="false" outlineLevel="0" max="14" min="14" style="0" width="28"/>
  </cols>
  <sheetData>
    <row r="1" customFormat="false" ht="16.15" hidden="false" customHeight="false" outlineLevel="0" collapsed="false">
      <c r="A1" s="1" t="s">
        <v>0</v>
      </c>
    </row>
    <row r="2" customFormat="false" ht="15" hidden="false" customHeight="false" outlineLevel="0" collapsed="false">
      <c r="A2" s="2" t="s">
        <v>1</v>
      </c>
    </row>
    <row r="4" customFormat="false" ht="39.5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35.05" hidden="false" customHeight="false" outlineLevel="0" collapsed="false">
      <c r="A5" s="4" t="n">
        <v>1</v>
      </c>
      <c r="B5" s="4" t="s">
        <v>16</v>
      </c>
      <c r="C5" s="4" t="n">
        <v>10</v>
      </c>
      <c r="D5" s="4" t="n">
        <v>1</v>
      </c>
      <c r="E5" s="4" t="s">
        <v>17</v>
      </c>
      <c r="F5" s="4" t="s">
        <v>18</v>
      </c>
      <c r="G5" s="4" t="s">
        <v>19</v>
      </c>
      <c r="H5" s="4" t="n">
        <v>3</v>
      </c>
      <c r="I5" s="4" t="s">
        <v>20</v>
      </c>
      <c r="J5" s="4" t="s">
        <v>21</v>
      </c>
      <c r="K5" s="4" t="s">
        <v>22</v>
      </c>
      <c r="L5" s="4"/>
      <c r="M5" s="5"/>
      <c r="N5" s="4"/>
    </row>
    <row r="6" customFormat="false" ht="46.25" hidden="false" customHeight="false" outlineLevel="0" collapsed="false">
      <c r="A6" s="4" t="n">
        <v>2</v>
      </c>
      <c r="B6" s="4" t="s">
        <v>23</v>
      </c>
      <c r="C6" s="4" t="n">
        <v>10</v>
      </c>
      <c r="D6" s="4" t="n">
        <v>1</v>
      </c>
      <c r="E6" s="4" t="s">
        <v>17</v>
      </c>
      <c r="F6" s="4" t="s">
        <v>24</v>
      </c>
      <c r="G6" s="4" t="s">
        <v>19</v>
      </c>
      <c r="H6" s="4" t="n">
        <v>2</v>
      </c>
      <c r="I6" s="4" t="s">
        <v>25</v>
      </c>
      <c r="J6" s="4" t="s">
        <v>21</v>
      </c>
      <c r="K6" s="4" t="s">
        <v>22</v>
      </c>
      <c r="L6" s="4"/>
      <c r="M6" s="5"/>
      <c r="N6" s="4"/>
    </row>
    <row r="7" customFormat="false" ht="35.05" hidden="false" customHeight="false" outlineLevel="0" collapsed="false">
      <c r="A7" s="4" t="n">
        <v>3</v>
      </c>
      <c r="B7" s="4" t="s">
        <v>26</v>
      </c>
      <c r="C7" s="4" t="n">
        <v>10</v>
      </c>
      <c r="D7" s="4" t="n">
        <v>1</v>
      </c>
      <c r="E7" s="4" t="s">
        <v>17</v>
      </c>
      <c r="F7" s="4" t="s">
        <v>27</v>
      </c>
      <c r="G7" s="4" t="s">
        <v>19</v>
      </c>
      <c r="H7" s="4" t="n">
        <v>1</v>
      </c>
      <c r="I7" s="4" t="s">
        <v>28</v>
      </c>
      <c r="J7" s="4" t="s">
        <v>21</v>
      </c>
      <c r="K7" s="4" t="s">
        <v>22</v>
      </c>
      <c r="L7" s="4"/>
      <c r="M7" s="5"/>
      <c r="N7" s="4"/>
    </row>
    <row r="8" customFormat="false" ht="35.05" hidden="false" customHeight="false" outlineLevel="0" collapsed="false">
      <c r="A8" s="4" t="n">
        <v>4</v>
      </c>
      <c r="B8" s="4" t="s">
        <v>29</v>
      </c>
      <c r="C8" s="4" t="n">
        <v>10</v>
      </c>
      <c r="D8" s="4" t="n">
        <v>1</v>
      </c>
      <c r="E8" s="4" t="s">
        <v>30</v>
      </c>
      <c r="F8" s="4" t="s">
        <v>18</v>
      </c>
      <c r="G8" s="4" t="s">
        <v>19</v>
      </c>
      <c r="H8" s="4" t="n">
        <v>3</v>
      </c>
      <c r="I8" s="4" t="s">
        <v>31</v>
      </c>
      <c r="J8" s="4" t="s">
        <v>21</v>
      </c>
      <c r="K8" s="4" t="s">
        <v>22</v>
      </c>
      <c r="L8" s="4"/>
      <c r="M8" s="5"/>
      <c r="N8" s="4"/>
    </row>
    <row r="9" customFormat="false" ht="35.05" hidden="false" customHeight="false" outlineLevel="0" collapsed="false">
      <c r="A9" s="4" t="n">
        <v>5</v>
      </c>
      <c r="B9" s="4" t="s">
        <v>32</v>
      </c>
      <c r="C9" s="4" t="n">
        <v>10</v>
      </c>
      <c r="D9" s="4" t="n">
        <v>1</v>
      </c>
      <c r="E9" s="4" t="s">
        <v>30</v>
      </c>
      <c r="F9" s="4" t="s">
        <v>33</v>
      </c>
      <c r="G9" s="4" t="s">
        <v>34</v>
      </c>
      <c r="H9" s="4" t="n">
        <v>1</v>
      </c>
      <c r="I9" s="4" t="s">
        <v>35</v>
      </c>
      <c r="J9" s="4" t="s">
        <v>21</v>
      </c>
      <c r="K9" s="4" t="s">
        <v>22</v>
      </c>
      <c r="L9" s="4"/>
      <c r="M9" s="5"/>
      <c r="N9" s="4"/>
    </row>
    <row r="10" customFormat="false" ht="46.25" hidden="false" customHeight="false" outlineLevel="0" collapsed="false">
      <c r="A10" s="4" t="n">
        <v>6</v>
      </c>
      <c r="B10" s="4" t="s">
        <v>36</v>
      </c>
      <c r="C10" s="4" t="n">
        <v>10</v>
      </c>
      <c r="D10" s="4" t="n">
        <v>1</v>
      </c>
      <c r="E10" s="4" t="s">
        <v>17</v>
      </c>
      <c r="F10" s="4" t="s">
        <v>37</v>
      </c>
      <c r="G10" s="4" t="s">
        <v>38</v>
      </c>
      <c r="H10" s="4" t="n">
        <v>4</v>
      </c>
      <c r="I10" s="4" t="s">
        <v>39</v>
      </c>
      <c r="J10" s="4" t="s">
        <v>21</v>
      </c>
      <c r="K10" s="4" t="s">
        <v>22</v>
      </c>
      <c r="L10" s="4"/>
      <c r="M10" s="5"/>
      <c r="N10" s="4"/>
    </row>
    <row r="11" customFormat="false" ht="35.05" hidden="false" customHeight="false" outlineLevel="0" collapsed="false">
      <c r="A11" s="4" t="n">
        <v>7</v>
      </c>
      <c r="B11" s="4" t="s">
        <v>40</v>
      </c>
      <c r="C11" s="4" t="n">
        <v>10</v>
      </c>
      <c r="D11" s="4" t="n">
        <v>1</v>
      </c>
      <c r="E11" s="4" t="s">
        <v>17</v>
      </c>
      <c r="F11" s="4" t="s">
        <v>41</v>
      </c>
      <c r="G11" s="4" t="s">
        <v>34</v>
      </c>
      <c r="H11" s="4" t="n">
        <v>2</v>
      </c>
      <c r="I11" s="4" t="s">
        <v>42</v>
      </c>
      <c r="J11" s="4" t="s">
        <v>21</v>
      </c>
      <c r="K11" s="4" t="s">
        <v>22</v>
      </c>
      <c r="L11" s="4"/>
      <c r="M11" s="5"/>
      <c r="N11" s="4"/>
    </row>
    <row r="12" customFormat="false" ht="35.05" hidden="false" customHeight="false" outlineLevel="0" collapsed="false">
      <c r="A12" s="4" t="n">
        <v>8</v>
      </c>
      <c r="B12" s="4" t="s">
        <v>43</v>
      </c>
      <c r="C12" s="4" t="n">
        <v>10</v>
      </c>
      <c r="D12" s="4" t="n">
        <v>1</v>
      </c>
      <c r="E12" s="4" t="s">
        <v>17</v>
      </c>
      <c r="F12" s="4" t="s">
        <v>44</v>
      </c>
      <c r="G12" s="4" t="s">
        <v>34</v>
      </c>
      <c r="H12" s="4" t="n">
        <v>1</v>
      </c>
      <c r="I12" s="4" t="s">
        <v>45</v>
      </c>
      <c r="J12" s="4" t="s">
        <v>21</v>
      </c>
      <c r="K12" s="4" t="s">
        <v>22</v>
      </c>
      <c r="L12" s="4"/>
      <c r="M12" s="5"/>
      <c r="N12" s="4"/>
    </row>
    <row r="13" customFormat="false" ht="35.05" hidden="false" customHeight="false" outlineLevel="0" collapsed="false">
      <c r="A13" s="4" t="n">
        <v>9</v>
      </c>
      <c r="B13" s="4" t="s">
        <v>46</v>
      </c>
      <c r="C13" s="4" t="n">
        <v>10</v>
      </c>
      <c r="D13" s="4" t="n">
        <v>1</v>
      </c>
      <c r="E13" s="4" t="s">
        <v>30</v>
      </c>
      <c r="F13" s="4" t="s">
        <v>47</v>
      </c>
      <c r="G13" s="4" t="s">
        <v>34</v>
      </c>
      <c r="H13" s="4" t="n">
        <v>2</v>
      </c>
      <c r="I13" s="4" t="s">
        <v>48</v>
      </c>
      <c r="J13" s="4" t="s">
        <v>21</v>
      </c>
      <c r="K13" s="4" t="s">
        <v>22</v>
      </c>
      <c r="L13" s="4"/>
      <c r="M13" s="5"/>
      <c r="N13" s="4"/>
    </row>
    <row r="14" customFormat="false" ht="46.25" hidden="false" customHeight="false" outlineLevel="0" collapsed="false">
      <c r="A14" s="4" t="n">
        <v>10</v>
      </c>
      <c r="B14" s="4" t="s">
        <v>49</v>
      </c>
      <c r="C14" s="4" t="n">
        <v>10</v>
      </c>
      <c r="D14" s="4" t="n">
        <v>1</v>
      </c>
      <c r="E14" s="4" t="s">
        <v>30</v>
      </c>
      <c r="F14" s="4" t="s">
        <v>50</v>
      </c>
      <c r="G14" s="4" t="s">
        <v>38</v>
      </c>
      <c r="H14" s="4" t="n">
        <v>3</v>
      </c>
      <c r="I14" s="4" t="s">
        <v>51</v>
      </c>
      <c r="J14" s="4" t="s">
        <v>21</v>
      </c>
      <c r="K14" s="4" t="s">
        <v>22</v>
      </c>
      <c r="L14" s="4"/>
      <c r="M14" s="5"/>
      <c r="N14" s="4"/>
    </row>
    <row r="15" customFormat="false" ht="46.25" hidden="false" customHeight="false" outlineLevel="0" collapsed="false">
      <c r="A15" s="4" t="n">
        <v>11</v>
      </c>
      <c r="B15" s="4" t="s">
        <v>52</v>
      </c>
      <c r="C15" s="4" t="n">
        <v>10</v>
      </c>
      <c r="D15" s="4" t="n">
        <v>1</v>
      </c>
      <c r="E15" s="4" t="s">
        <v>30</v>
      </c>
      <c r="F15" s="4" t="s">
        <v>53</v>
      </c>
      <c r="G15" s="4" t="s">
        <v>19</v>
      </c>
      <c r="H15" s="4" t="n">
        <v>2</v>
      </c>
      <c r="I15" s="4" t="s">
        <v>54</v>
      </c>
      <c r="J15" s="4" t="s">
        <v>21</v>
      </c>
      <c r="K15" s="4" t="s">
        <v>22</v>
      </c>
      <c r="L15" s="4"/>
      <c r="M15" s="5"/>
      <c r="N15" s="4"/>
    </row>
    <row r="16" customFormat="false" ht="35.05" hidden="false" customHeight="false" outlineLevel="0" collapsed="false">
      <c r="A16" s="4" t="n">
        <v>12</v>
      </c>
      <c r="B16" s="4" t="s">
        <v>55</v>
      </c>
      <c r="C16" s="4" t="n">
        <v>10</v>
      </c>
      <c r="D16" s="4" t="n">
        <v>1</v>
      </c>
      <c r="E16" s="4" t="s">
        <v>17</v>
      </c>
      <c r="F16" s="4" t="s">
        <v>56</v>
      </c>
      <c r="G16" s="4" t="s">
        <v>19</v>
      </c>
      <c r="H16" s="4" t="n">
        <v>2</v>
      </c>
      <c r="I16" s="4" t="s">
        <v>57</v>
      </c>
      <c r="J16" s="4" t="s">
        <v>21</v>
      </c>
      <c r="K16" s="4" t="s">
        <v>22</v>
      </c>
      <c r="L16" s="4"/>
      <c r="M16" s="5"/>
      <c r="N16" s="4"/>
    </row>
    <row r="17" customFormat="false" ht="35.05" hidden="false" customHeight="false" outlineLevel="0" collapsed="false">
      <c r="A17" s="4" t="n">
        <v>13</v>
      </c>
      <c r="B17" s="4" t="s">
        <v>58</v>
      </c>
      <c r="C17" s="4" t="n">
        <v>10</v>
      </c>
      <c r="D17" s="4" t="n">
        <v>2</v>
      </c>
      <c r="E17" s="4" t="s">
        <v>17</v>
      </c>
      <c r="F17" s="4" t="s">
        <v>59</v>
      </c>
      <c r="G17" s="4" t="s">
        <v>60</v>
      </c>
      <c r="H17" s="4" t="n">
        <v>3</v>
      </c>
      <c r="I17" s="4" t="s">
        <v>61</v>
      </c>
      <c r="J17" s="4" t="s">
        <v>21</v>
      </c>
      <c r="K17" s="4" t="s">
        <v>22</v>
      </c>
      <c r="L17" s="4"/>
      <c r="M17" s="5"/>
      <c r="N17" s="4"/>
    </row>
    <row r="18" customFormat="false" ht="35.05" hidden="false" customHeight="false" outlineLevel="0" collapsed="false">
      <c r="A18" s="4" t="n">
        <v>14</v>
      </c>
      <c r="B18" s="4" t="s">
        <v>62</v>
      </c>
      <c r="C18" s="4" t="n">
        <v>10</v>
      </c>
      <c r="D18" s="4" t="n">
        <v>2</v>
      </c>
      <c r="E18" s="4" t="s">
        <v>30</v>
      </c>
      <c r="F18" s="4" t="s">
        <v>63</v>
      </c>
      <c r="G18" s="4" t="s">
        <v>60</v>
      </c>
      <c r="H18" s="4" t="n">
        <v>3</v>
      </c>
      <c r="I18" s="4" t="s">
        <v>64</v>
      </c>
      <c r="J18" s="4" t="s">
        <v>21</v>
      </c>
      <c r="K18" s="4" t="s">
        <v>22</v>
      </c>
      <c r="L18" s="4"/>
      <c r="M18" s="5"/>
      <c r="N18" s="4"/>
    </row>
    <row r="19" customFormat="false" ht="35.05" hidden="false" customHeight="false" outlineLevel="0" collapsed="false">
      <c r="A19" s="4" t="n">
        <v>15</v>
      </c>
      <c r="B19" s="4" t="s">
        <v>65</v>
      </c>
      <c r="C19" s="4" t="n">
        <v>10</v>
      </c>
      <c r="D19" s="4" t="n">
        <v>3</v>
      </c>
      <c r="E19" s="4" t="s">
        <v>17</v>
      </c>
      <c r="F19" s="4" t="s">
        <v>66</v>
      </c>
      <c r="G19" s="4" t="s">
        <v>67</v>
      </c>
      <c r="H19" s="4" t="n">
        <v>1</v>
      </c>
      <c r="I19" s="4" t="s">
        <v>68</v>
      </c>
      <c r="J19" s="4" t="s">
        <v>21</v>
      </c>
      <c r="K19" s="4" t="s">
        <v>22</v>
      </c>
      <c r="L19" s="4"/>
      <c r="M19" s="5"/>
      <c r="N19" s="4"/>
    </row>
    <row r="20" customFormat="false" ht="35.05" hidden="false" customHeight="false" outlineLevel="0" collapsed="false">
      <c r="A20" s="4" t="n">
        <v>16</v>
      </c>
      <c r="B20" s="4" t="s">
        <v>69</v>
      </c>
      <c r="C20" s="4" t="n">
        <v>10</v>
      </c>
      <c r="D20" s="4" t="n">
        <v>3</v>
      </c>
      <c r="E20" s="4" t="s">
        <v>30</v>
      </c>
      <c r="F20" s="4" t="s">
        <v>70</v>
      </c>
      <c r="G20" s="4" t="s">
        <v>67</v>
      </c>
      <c r="H20" s="4" t="n">
        <v>4</v>
      </c>
      <c r="I20" s="4" t="s">
        <v>71</v>
      </c>
      <c r="J20" s="4" t="s">
        <v>21</v>
      </c>
      <c r="K20" s="4" t="s">
        <v>22</v>
      </c>
      <c r="L20" s="4"/>
      <c r="M20" s="5"/>
      <c r="N20" s="4"/>
    </row>
    <row r="21" customFormat="false" ht="57.45" hidden="false" customHeight="false" outlineLevel="0" collapsed="false">
      <c r="A21" s="4" t="n">
        <v>17</v>
      </c>
      <c r="B21" s="4" t="s">
        <v>72</v>
      </c>
      <c r="C21" s="4" t="n">
        <v>10</v>
      </c>
      <c r="D21" s="4" t="n">
        <v>3</v>
      </c>
      <c r="E21" s="4" t="s">
        <v>17</v>
      </c>
      <c r="F21" s="4" t="s">
        <v>73</v>
      </c>
      <c r="G21" s="4" t="s">
        <v>67</v>
      </c>
      <c r="H21" s="4" t="n">
        <v>2</v>
      </c>
      <c r="I21" s="4" t="s">
        <v>74</v>
      </c>
      <c r="J21" s="4" t="s">
        <v>21</v>
      </c>
      <c r="K21" s="4" t="s">
        <v>22</v>
      </c>
      <c r="L21" s="4"/>
      <c r="M21" s="5"/>
      <c r="N21" s="4"/>
    </row>
    <row r="22" customFormat="false" ht="46.25" hidden="false" customHeight="false" outlineLevel="0" collapsed="false">
      <c r="A22" s="4" t="n">
        <v>18</v>
      </c>
      <c r="B22" s="4" t="s">
        <v>75</v>
      </c>
      <c r="C22" s="4" t="n">
        <v>10</v>
      </c>
      <c r="D22" s="4" t="n">
        <v>3</v>
      </c>
      <c r="E22" s="4" t="s">
        <v>17</v>
      </c>
      <c r="F22" s="4" t="s">
        <v>76</v>
      </c>
      <c r="G22" s="4" t="s">
        <v>67</v>
      </c>
      <c r="H22" s="4" t="n">
        <v>3</v>
      </c>
      <c r="I22" s="4" t="s">
        <v>77</v>
      </c>
      <c r="J22" s="6" t="s">
        <v>78</v>
      </c>
      <c r="K22" s="4" t="s">
        <v>79</v>
      </c>
      <c r="L22" s="4"/>
      <c r="M22" s="5"/>
      <c r="N22" s="4"/>
    </row>
    <row r="23" customFormat="false" ht="35.05" hidden="false" customHeight="false" outlineLevel="0" collapsed="false">
      <c r="A23" s="4" t="n">
        <v>19</v>
      </c>
      <c r="B23" s="4" t="s">
        <v>80</v>
      </c>
      <c r="C23" s="4" t="n">
        <v>10</v>
      </c>
      <c r="D23" s="4" t="n">
        <v>3</v>
      </c>
      <c r="E23" s="4" t="s">
        <v>30</v>
      </c>
      <c r="F23" s="4" t="s">
        <v>81</v>
      </c>
      <c r="G23" s="4" t="s">
        <v>67</v>
      </c>
      <c r="H23" s="4" t="n">
        <v>3</v>
      </c>
      <c r="I23" s="4" t="s">
        <v>82</v>
      </c>
      <c r="J23" s="4" t="s">
        <v>21</v>
      </c>
      <c r="K23" s="4" t="s">
        <v>22</v>
      </c>
      <c r="L23" s="4" t="s">
        <v>83</v>
      </c>
      <c r="M23" s="5"/>
      <c r="N23" s="4"/>
    </row>
    <row r="24" customFormat="false" ht="57.45" hidden="false" customHeight="false" outlineLevel="0" collapsed="false">
      <c r="A24" s="4" t="n">
        <v>20</v>
      </c>
      <c r="B24" s="4" t="s">
        <v>84</v>
      </c>
      <c r="C24" s="4" t="n">
        <v>10</v>
      </c>
      <c r="D24" s="4" t="n">
        <v>3</v>
      </c>
      <c r="E24" s="4" t="s">
        <v>17</v>
      </c>
      <c r="F24" s="4" t="s">
        <v>85</v>
      </c>
      <c r="G24" s="4" t="s">
        <v>67</v>
      </c>
      <c r="H24" s="4" t="n">
        <v>3</v>
      </c>
      <c r="I24" s="4" t="s">
        <v>86</v>
      </c>
      <c r="J24" s="6" t="s">
        <v>78</v>
      </c>
      <c r="K24" s="4" t="s">
        <v>87</v>
      </c>
      <c r="L24" s="4"/>
      <c r="M24" s="5"/>
      <c r="N24" s="4"/>
    </row>
    <row r="25" customFormat="false" ht="46.25" hidden="false" customHeight="false" outlineLevel="0" collapsed="false">
      <c r="A25" s="4" t="n">
        <v>21</v>
      </c>
      <c r="B25" s="4" t="s">
        <v>88</v>
      </c>
      <c r="C25" s="4" t="n">
        <v>10</v>
      </c>
      <c r="D25" s="4" t="n">
        <v>3</v>
      </c>
      <c r="E25" s="4" t="s">
        <v>30</v>
      </c>
      <c r="F25" s="4" t="s">
        <v>89</v>
      </c>
      <c r="G25" s="4" t="s">
        <v>67</v>
      </c>
      <c r="H25" s="4" t="n">
        <v>2</v>
      </c>
      <c r="I25" s="4" t="s">
        <v>90</v>
      </c>
      <c r="J25" s="4" t="s">
        <v>21</v>
      </c>
      <c r="K25" s="4" t="s">
        <v>22</v>
      </c>
      <c r="L25" s="4" t="s">
        <v>91</v>
      </c>
      <c r="M25" s="5"/>
      <c r="N25" s="4"/>
    </row>
    <row r="26" customFormat="false" ht="57.45" hidden="false" customHeight="false" outlineLevel="0" collapsed="false">
      <c r="A26" s="4" t="n">
        <v>22</v>
      </c>
      <c r="B26" s="4" t="s">
        <v>92</v>
      </c>
      <c r="C26" s="4" t="n">
        <v>10</v>
      </c>
      <c r="D26" s="4" t="n">
        <v>3</v>
      </c>
      <c r="E26" s="4" t="s">
        <v>30</v>
      </c>
      <c r="F26" s="4" t="s">
        <v>93</v>
      </c>
      <c r="G26" s="4" t="s">
        <v>67</v>
      </c>
      <c r="H26" s="4" t="n">
        <v>3</v>
      </c>
      <c r="I26" s="4" t="s">
        <v>94</v>
      </c>
      <c r="J26" s="6" t="s">
        <v>78</v>
      </c>
      <c r="K26" s="4" t="s">
        <v>95</v>
      </c>
      <c r="L26" s="4"/>
      <c r="M26" s="5"/>
      <c r="N26" s="4"/>
    </row>
    <row r="27" customFormat="false" ht="57.45" hidden="false" customHeight="false" outlineLevel="0" collapsed="false">
      <c r="A27" s="4" t="n">
        <v>23</v>
      </c>
      <c r="B27" s="4" t="s">
        <v>96</v>
      </c>
      <c r="C27" s="4" t="n">
        <v>10</v>
      </c>
      <c r="D27" s="4" t="n">
        <v>3</v>
      </c>
      <c r="E27" s="4" t="s">
        <v>30</v>
      </c>
      <c r="F27" s="4" t="s">
        <v>97</v>
      </c>
      <c r="G27" s="4" t="s">
        <v>67</v>
      </c>
      <c r="H27" s="4" t="n">
        <v>2</v>
      </c>
      <c r="I27" s="4" t="s">
        <v>98</v>
      </c>
      <c r="J27" s="6" t="s">
        <v>78</v>
      </c>
      <c r="K27" s="4" t="s">
        <v>99</v>
      </c>
      <c r="L27" s="4"/>
      <c r="M27" s="5"/>
      <c r="N27" s="4"/>
    </row>
    <row r="28" customFormat="false" ht="57.45" hidden="false" customHeight="false" outlineLevel="0" collapsed="false">
      <c r="A28" s="4" t="n">
        <v>24</v>
      </c>
      <c r="B28" s="4" t="s">
        <v>100</v>
      </c>
      <c r="C28" s="4" t="n">
        <v>10</v>
      </c>
      <c r="D28" s="4" t="n">
        <v>3</v>
      </c>
      <c r="E28" s="4" t="s">
        <v>17</v>
      </c>
      <c r="F28" s="4" t="s">
        <v>101</v>
      </c>
      <c r="G28" s="4" t="s">
        <v>67</v>
      </c>
      <c r="H28" s="4" t="n">
        <v>1</v>
      </c>
      <c r="I28" s="4" t="s">
        <v>102</v>
      </c>
      <c r="J28" s="6" t="s">
        <v>78</v>
      </c>
      <c r="K28" s="4" t="s">
        <v>103</v>
      </c>
      <c r="L28" s="4"/>
      <c r="M28" s="5"/>
      <c r="N28" s="4"/>
    </row>
    <row r="29" customFormat="false" ht="57.45" hidden="false" customHeight="false" outlineLevel="0" collapsed="false">
      <c r="A29" s="4" t="n">
        <v>25</v>
      </c>
      <c r="B29" s="4" t="s">
        <v>104</v>
      </c>
      <c r="C29" s="4" t="n">
        <v>10</v>
      </c>
      <c r="D29" s="4" t="n">
        <v>3</v>
      </c>
      <c r="E29" s="4" t="s">
        <v>30</v>
      </c>
      <c r="F29" s="4" t="s">
        <v>101</v>
      </c>
      <c r="G29" s="4" t="s">
        <v>67</v>
      </c>
      <c r="H29" s="4" t="n">
        <v>1</v>
      </c>
      <c r="I29" s="4" t="s">
        <v>105</v>
      </c>
      <c r="J29" s="6" t="s">
        <v>78</v>
      </c>
      <c r="K29" s="4" t="s">
        <v>106</v>
      </c>
      <c r="L29" s="4"/>
      <c r="M29" s="5"/>
      <c r="N29" s="4"/>
    </row>
    <row r="30" customFormat="false" ht="46.25" hidden="false" customHeight="false" outlineLevel="0" collapsed="false">
      <c r="A30" s="4" t="n">
        <v>26</v>
      </c>
      <c r="B30" s="4" t="s">
        <v>107</v>
      </c>
      <c r="C30" s="4" t="n">
        <v>10</v>
      </c>
      <c r="D30" s="4" t="n">
        <v>3</v>
      </c>
      <c r="E30" s="4" t="s">
        <v>30</v>
      </c>
      <c r="F30" s="4" t="s">
        <v>108</v>
      </c>
      <c r="G30" s="4" t="s">
        <v>67</v>
      </c>
      <c r="H30" s="4" t="n">
        <v>1</v>
      </c>
      <c r="I30" s="4" t="s">
        <v>109</v>
      </c>
      <c r="J30" s="6" t="s">
        <v>78</v>
      </c>
      <c r="K30" s="4" t="s">
        <v>110</v>
      </c>
      <c r="L30" s="4"/>
      <c r="M30" s="5"/>
      <c r="N30" s="4"/>
    </row>
    <row r="31" customFormat="false" ht="68.65" hidden="false" customHeight="false" outlineLevel="0" collapsed="false">
      <c r="A31" s="7" t="n">
        <v>27</v>
      </c>
      <c r="B31" s="7" t="s">
        <v>111</v>
      </c>
      <c r="C31" s="7" t="n">
        <v>10</v>
      </c>
      <c r="D31" s="7" t="n">
        <v>3</v>
      </c>
      <c r="E31" s="7" t="s">
        <v>17</v>
      </c>
      <c r="F31" s="7" t="s">
        <v>112</v>
      </c>
      <c r="G31" s="7" t="s">
        <v>67</v>
      </c>
      <c r="H31" s="7" t="n">
        <v>1</v>
      </c>
      <c r="I31" s="7" t="s">
        <v>113</v>
      </c>
      <c r="J31" s="8" t="s">
        <v>78</v>
      </c>
      <c r="K31" s="7" t="s">
        <v>114</v>
      </c>
      <c r="L31" s="7"/>
      <c r="M31" s="5"/>
      <c r="N31" s="7"/>
    </row>
    <row r="32" customFormat="false" ht="68.65" hidden="false" customHeight="false" outlineLevel="0" collapsed="false">
      <c r="A32" s="7" t="n">
        <v>28</v>
      </c>
      <c r="B32" s="7" t="s">
        <v>115</v>
      </c>
      <c r="C32" s="7" t="n">
        <v>10</v>
      </c>
      <c r="D32" s="7" t="n">
        <v>3</v>
      </c>
      <c r="E32" s="7" t="s">
        <v>30</v>
      </c>
      <c r="F32" s="7" t="s">
        <v>112</v>
      </c>
      <c r="G32" s="7" t="s">
        <v>67</v>
      </c>
      <c r="H32" s="7" t="n">
        <v>1</v>
      </c>
      <c r="I32" s="7" t="s">
        <v>116</v>
      </c>
      <c r="J32" s="8" t="s">
        <v>78</v>
      </c>
      <c r="K32" s="7" t="s">
        <v>114</v>
      </c>
      <c r="L32" s="7"/>
      <c r="M32" s="5"/>
      <c r="N32" s="7"/>
    </row>
    <row r="33" customFormat="false" ht="35.05" hidden="false" customHeight="false" outlineLevel="0" collapsed="false">
      <c r="A33" s="4" t="n">
        <v>29</v>
      </c>
      <c r="B33" s="4" t="s">
        <v>117</v>
      </c>
      <c r="C33" s="4" t="n">
        <v>10</v>
      </c>
      <c r="D33" s="4" t="n">
        <v>4</v>
      </c>
      <c r="E33" s="4" t="s">
        <v>17</v>
      </c>
      <c r="F33" s="4" t="s">
        <v>118</v>
      </c>
      <c r="G33" s="4" t="s">
        <v>119</v>
      </c>
      <c r="H33" s="4" t="n">
        <v>1</v>
      </c>
      <c r="I33" s="4" t="s">
        <v>120</v>
      </c>
      <c r="J33" s="4" t="s">
        <v>21</v>
      </c>
      <c r="K33" s="4" t="s">
        <v>22</v>
      </c>
      <c r="L33" s="4"/>
      <c r="M33" s="5"/>
      <c r="N33" s="4"/>
    </row>
    <row r="34" customFormat="false" ht="35.05" hidden="false" customHeight="false" outlineLevel="0" collapsed="false">
      <c r="A34" s="4" t="n">
        <v>30</v>
      </c>
      <c r="B34" s="4" t="s">
        <v>121</v>
      </c>
      <c r="C34" s="4" t="n">
        <v>10</v>
      </c>
      <c r="D34" s="4" t="n">
        <v>4</v>
      </c>
      <c r="E34" s="4" t="s">
        <v>30</v>
      </c>
      <c r="F34" s="4" t="s">
        <v>122</v>
      </c>
      <c r="G34" s="4" t="s">
        <v>119</v>
      </c>
      <c r="H34" s="4" t="n">
        <v>1</v>
      </c>
      <c r="I34" s="4" t="s">
        <v>123</v>
      </c>
      <c r="J34" s="4" t="s">
        <v>21</v>
      </c>
      <c r="K34" s="4" t="s">
        <v>22</v>
      </c>
      <c r="L34" s="4"/>
      <c r="M34" s="5"/>
      <c r="N34" s="4"/>
    </row>
    <row r="35" customFormat="false" ht="35.05" hidden="false" customHeight="false" outlineLevel="0" collapsed="false">
      <c r="A35" s="4" t="n">
        <v>31</v>
      </c>
      <c r="B35" s="4" t="s">
        <v>124</v>
      </c>
      <c r="C35" s="4" t="n">
        <v>10</v>
      </c>
      <c r="D35" s="4" t="n">
        <v>4</v>
      </c>
      <c r="E35" s="4" t="s">
        <v>17</v>
      </c>
      <c r="F35" s="4" t="s">
        <v>125</v>
      </c>
      <c r="G35" s="4" t="s">
        <v>126</v>
      </c>
      <c r="H35" s="4" t="n">
        <v>1</v>
      </c>
      <c r="I35" s="4" t="s">
        <v>127</v>
      </c>
      <c r="J35" s="4" t="s">
        <v>21</v>
      </c>
      <c r="K35" s="4" t="s">
        <v>22</v>
      </c>
      <c r="L35" s="4"/>
      <c r="M35" s="5"/>
      <c r="N35" s="4"/>
    </row>
    <row r="36" customFormat="false" ht="46.25" hidden="false" customHeight="false" outlineLevel="0" collapsed="false">
      <c r="A36" s="4" t="n">
        <v>32</v>
      </c>
      <c r="B36" s="4" t="s">
        <v>128</v>
      </c>
      <c r="C36" s="4" t="n">
        <v>10</v>
      </c>
      <c r="D36" s="4" t="n">
        <v>4</v>
      </c>
      <c r="E36" s="4" t="s">
        <v>30</v>
      </c>
      <c r="F36" s="4" t="s">
        <v>129</v>
      </c>
      <c r="G36" s="4" t="s">
        <v>126</v>
      </c>
      <c r="H36" s="4" t="n">
        <v>1</v>
      </c>
      <c r="I36" s="4" t="s">
        <v>130</v>
      </c>
      <c r="J36" s="4" t="s">
        <v>21</v>
      </c>
      <c r="K36" s="4" t="s">
        <v>22</v>
      </c>
      <c r="L36" s="4"/>
      <c r="M36" s="5"/>
      <c r="N36" s="4"/>
    </row>
    <row r="37" customFormat="false" ht="23.85" hidden="false" customHeight="false" outlineLevel="0" collapsed="false">
      <c r="A37" s="4" t="n">
        <v>33</v>
      </c>
      <c r="B37" s="4" t="s">
        <v>131</v>
      </c>
      <c r="C37" s="4" t="n">
        <v>10</v>
      </c>
      <c r="D37" s="4" t="n">
        <v>4</v>
      </c>
      <c r="E37" s="4" t="s">
        <v>17</v>
      </c>
      <c r="F37" s="4" t="s">
        <v>132</v>
      </c>
      <c r="G37" s="4" t="s">
        <v>133</v>
      </c>
      <c r="H37" s="4" t="n">
        <v>1</v>
      </c>
      <c r="I37" s="4" t="s">
        <v>134</v>
      </c>
      <c r="J37" s="4" t="s">
        <v>21</v>
      </c>
      <c r="K37" s="4" t="s">
        <v>22</v>
      </c>
      <c r="L37" s="4"/>
      <c r="M37" s="5"/>
      <c r="N37" s="4"/>
    </row>
    <row r="38" customFormat="false" ht="23.85" hidden="false" customHeight="false" outlineLevel="0" collapsed="false">
      <c r="A38" s="4" t="n">
        <v>34</v>
      </c>
      <c r="B38" s="4" t="s">
        <v>135</v>
      </c>
      <c r="C38" s="4" t="n">
        <v>10</v>
      </c>
      <c r="D38" s="4" t="n">
        <v>4</v>
      </c>
      <c r="E38" s="4" t="s">
        <v>30</v>
      </c>
      <c r="F38" s="4" t="s">
        <v>136</v>
      </c>
      <c r="G38" s="4" t="s">
        <v>133</v>
      </c>
      <c r="H38" s="4" t="n">
        <v>1</v>
      </c>
      <c r="I38" s="4" t="s">
        <v>137</v>
      </c>
      <c r="J38" s="4" t="s">
        <v>21</v>
      </c>
      <c r="K38" s="4" t="s">
        <v>22</v>
      </c>
      <c r="L38" s="4"/>
      <c r="M38" s="5"/>
      <c r="N38" s="4"/>
    </row>
    <row r="39" customFormat="false" ht="57.45" hidden="false" customHeight="false" outlineLevel="0" collapsed="false">
      <c r="A39" s="4" t="n">
        <v>35</v>
      </c>
      <c r="B39" s="4" t="s">
        <v>138</v>
      </c>
      <c r="C39" s="4" t="n">
        <v>10</v>
      </c>
      <c r="D39" s="4" t="n">
        <v>4</v>
      </c>
      <c r="E39" s="4" t="s">
        <v>17</v>
      </c>
      <c r="F39" s="4" t="s">
        <v>139</v>
      </c>
      <c r="G39" s="4" t="s">
        <v>140</v>
      </c>
      <c r="H39" s="4" t="n">
        <v>1</v>
      </c>
      <c r="I39" s="4" t="s">
        <v>141</v>
      </c>
      <c r="J39" s="4" t="s">
        <v>21</v>
      </c>
      <c r="K39" s="4" t="s">
        <v>22</v>
      </c>
      <c r="L39" s="4"/>
      <c r="M39" s="5"/>
      <c r="N39" s="4"/>
    </row>
    <row r="40" customFormat="false" ht="57.45" hidden="false" customHeight="false" outlineLevel="0" collapsed="false">
      <c r="A40" s="4" t="n">
        <v>36</v>
      </c>
      <c r="B40" s="4" t="s">
        <v>142</v>
      </c>
      <c r="C40" s="4" t="n">
        <v>10</v>
      </c>
      <c r="D40" s="4" t="n">
        <v>4</v>
      </c>
      <c r="E40" s="4" t="s">
        <v>30</v>
      </c>
      <c r="F40" s="4" t="s">
        <v>143</v>
      </c>
      <c r="G40" s="4" t="s">
        <v>140</v>
      </c>
      <c r="H40" s="4" t="n">
        <v>1</v>
      </c>
      <c r="I40" s="4" t="s">
        <v>144</v>
      </c>
      <c r="J40" s="4" t="s">
        <v>21</v>
      </c>
      <c r="K40" s="4" t="s">
        <v>22</v>
      </c>
      <c r="L40" s="4"/>
      <c r="M40" s="5"/>
      <c r="N40" s="4"/>
    </row>
    <row r="41" customFormat="false" ht="35.05" hidden="false" customHeight="false" outlineLevel="0" collapsed="false">
      <c r="A41" s="4" t="n">
        <v>37</v>
      </c>
      <c r="B41" s="4" t="s">
        <v>145</v>
      </c>
      <c r="C41" s="4" t="n">
        <v>10</v>
      </c>
      <c r="D41" s="4" t="n">
        <v>4</v>
      </c>
      <c r="E41" s="4" t="s">
        <v>17</v>
      </c>
      <c r="F41" s="4" t="s">
        <v>146</v>
      </c>
      <c r="G41" s="4" t="s">
        <v>147</v>
      </c>
      <c r="H41" s="4" t="n">
        <v>1</v>
      </c>
      <c r="I41" s="4" t="s">
        <v>148</v>
      </c>
      <c r="J41" s="4" t="s">
        <v>21</v>
      </c>
      <c r="K41" s="4" t="s">
        <v>22</v>
      </c>
      <c r="L41" s="4"/>
      <c r="M41" s="5"/>
      <c r="N41" s="4"/>
    </row>
    <row r="42" customFormat="false" ht="35.05" hidden="false" customHeight="false" outlineLevel="0" collapsed="false">
      <c r="A42" s="4" t="n">
        <v>38</v>
      </c>
      <c r="B42" s="4" t="s">
        <v>149</v>
      </c>
      <c r="C42" s="4" t="n">
        <v>10</v>
      </c>
      <c r="D42" s="4" t="n">
        <v>4</v>
      </c>
      <c r="E42" s="4" t="s">
        <v>30</v>
      </c>
      <c r="F42" s="4" t="s">
        <v>150</v>
      </c>
      <c r="G42" s="4" t="s">
        <v>147</v>
      </c>
      <c r="H42" s="4" t="n">
        <v>1</v>
      </c>
      <c r="I42" s="4" t="s">
        <v>151</v>
      </c>
      <c r="J42" s="4" t="s">
        <v>21</v>
      </c>
      <c r="K42" s="4" t="s">
        <v>22</v>
      </c>
      <c r="L42" s="4"/>
      <c r="M42" s="5"/>
      <c r="N42" s="4"/>
    </row>
    <row r="43" customFormat="false" ht="57.45" hidden="false" customHeight="false" outlineLevel="0" collapsed="false">
      <c r="A43" s="4" t="n">
        <v>39</v>
      </c>
      <c r="B43" s="4" t="s">
        <v>152</v>
      </c>
      <c r="C43" s="4" t="n">
        <v>10</v>
      </c>
      <c r="D43" s="4" t="n">
        <v>5</v>
      </c>
      <c r="E43" s="4" t="s">
        <v>17</v>
      </c>
      <c r="F43" s="4" t="s">
        <v>153</v>
      </c>
      <c r="G43" s="4" t="s">
        <v>154</v>
      </c>
      <c r="H43" s="4" t="n">
        <v>1</v>
      </c>
      <c r="I43" s="4" t="s">
        <v>155</v>
      </c>
      <c r="J43" s="4" t="s">
        <v>21</v>
      </c>
      <c r="K43" s="4" t="s">
        <v>22</v>
      </c>
      <c r="L43" s="4"/>
      <c r="M43" s="5"/>
      <c r="N43" s="4"/>
    </row>
    <row r="44" customFormat="false" ht="68.65" hidden="false" customHeight="false" outlineLevel="0" collapsed="false">
      <c r="A44" s="4" t="n">
        <v>40</v>
      </c>
      <c r="B44" s="4" t="s">
        <v>156</v>
      </c>
      <c r="C44" s="4" t="n">
        <v>10</v>
      </c>
      <c r="D44" s="4" t="n">
        <v>5</v>
      </c>
      <c r="E44" s="4" t="s">
        <v>30</v>
      </c>
      <c r="F44" s="4" t="s">
        <v>157</v>
      </c>
      <c r="G44" s="4" t="s">
        <v>154</v>
      </c>
      <c r="H44" s="4" t="n">
        <v>1</v>
      </c>
      <c r="I44" s="4" t="s">
        <v>158</v>
      </c>
      <c r="J44" s="4" t="s">
        <v>21</v>
      </c>
      <c r="K44" s="4" t="s">
        <v>22</v>
      </c>
      <c r="L44" s="4"/>
      <c r="M44" s="5"/>
      <c r="N44" s="4"/>
    </row>
    <row r="45" customFormat="false" ht="46.25" hidden="false" customHeight="false" outlineLevel="0" collapsed="false">
      <c r="A45" s="4" t="n">
        <v>41</v>
      </c>
      <c r="B45" s="4" t="s">
        <v>159</v>
      </c>
      <c r="C45" s="4" t="n">
        <v>10</v>
      </c>
      <c r="D45" s="4" t="n">
        <v>5</v>
      </c>
      <c r="E45" s="4" t="s">
        <v>17</v>
      </c>
      <c r="F45" s="4" t="s">
        <v>160</v>
      </c>
      <c r="G45" s="4" t="s">
        <v>161</v>
      </c>
      <c r="H45" s="4" t="n">
        <v>1</v>
      </c>
      <c r="I45" s="4" t="s">
        <v>162</v>
      </c>
      <c r="J45" s="4" t="s">
        <v>21</v>
      </c>
      <c r="K45" s="4" t="s">
        <v>22</v>
      </c>
      <c r="L45" s="4"/>
      <c r="M45" s="5"/>
      <c r="N45" s="4"/>
    </row>
    <row r="46" customFormat="false" ht="46.25" hidden="false" customHeight="false" outlineLevel="0" collapsed="false">
      <c r="A46" s="4" t="n">
        <v>42</v>
      </c>
      <c r="B46" s="4" t="s">
        <v>163</v>
      </c>
      <c r="C46" s="4" t="n">
        <v>10</v>
      </c>
      <c r="D46" s="4" t="n">
        <v>5</v>
      </c>
      <c r="E46" s="4" t="s">
        <v>30</v>
      </c>
      <c r="F46" s="4" t="s">
        <v>164</v>
      </c>
      <c r="G46" s="4" t="s">
        <v>161</v>
      </c>
      <c r="H46" s="4" t="n">
        <v>1</v>
      </c>
      <c r="I46" s="4" t="s">
        <v>165</v>
      </c>
      <c r="J46" s="4" t="s">
        <v>21</v>
      </c>
      <c r="K46" s="4" t="s">
        <v>22</v>
      </c>
      <c r="L46" s="4"/>
      <c r="M46" s="5"/>
      <c r="N46" s="4"/>
    </row>
    <row r="47" customFormat="false" ht="35.05" hidden="false" customHeight="false" outlineLevel="0" collapsed="false">
      <c r="A47" s="4" t="n">
        <v>43</v>
      </c>
      <c r="B47" s="4" t="s">
        <v>166</v>
      </c>
      <c r="C47" s="4" t="n">
        <v>10</v>
      </c>
      <c r="D47" s="4" t="n">
        <v>5</v>
      </c>
      <c r="E47" s="4" t="s">
        <v>17</v>
      </c>
      <c r="F47" s="4" t="s">
        <v>167</v>
      </c>
      <c r="G47" s="4" t="s">
        <v>168</v>
      </c>
      <c r="H47" s="4" t="n">
        <v>1</v>
      </c>
      <c r="I47" s="4" t="s">
        <v>169</v>
      </c>
      <c r="J47" s="4" t="s">
        <v>21</v>
      </c>
      <c r="K47" s="4" t="s">
        <v>22</v>
      </c>
      <c r="L47" s="4"/>
      <c r="M47" s="5"/>
      <c r="N47" s="4"/>
    </row>
    <row r="48" customFormat="false" ht="35.05" hidden="false" customHeight="false" outlineLevel="0" collapsed="false">
      <c r="A48" s="4" t="n">
        <v>44</v>
      </c>
      <c r="B48" s="4" t="s">
        <v>170</v>
      </c>
      <c r="C48" s="4" t="n">
        <v>10</v>
      </c>
      <c r="D48" s="4" t="n">
        <v>5</v>
      </c>
      <c r="E48" s="4" t="s">
        <v>30</v>
      </c>
      <c r="F48" s="4" t="s">
        <v>171</v>
      </c>
      <c r="G48" s="4" t="s">
        <v>168</v>
      </c>
      <c r="H48" s="4" t="n">
        <v>1</v>
      </c>
      <c r="I48" s="4" t="s">
        <v>172</v>
      </c>
      <c r="J48" s="4" t="s">
        <v>21</v>
      </c>
      <c r="K48" s="4" t="s">
        <v>22</v>
      </c>
      <c r="L48" s="4"/>
      <c r="M48" s="5"/>
      <c r="N48" s="4"/>
    </row>
    <row r="49" customFormat="false" ht="35.05" hidden="false" customHeight="false" outlineLevel="0" collapsed="false">
      <c r="A49" s="4" t="n">
        <v>45</v>
      </c>
      <c r="B49" s="4" t="s">
        <v>173</v>
      </c>
      <c r="C49" s="4" t="n">
        <v>10</v>
      </c>
      <c r="D49" s="4" t="n">
        <v>5</v>
      </c>
      <c r="E49" s="4" t="s">
        <v>17</v>
      </c>
      <c r="F49" s="4" t="s">
        <v>174</v>
      </c>
      <c r="G49" s="4" t="s">
        <v>175</v>
      </c>
      <c r="H49" s="4" t="n">
        <v>1</v>
      </c>
      <c r="I49" s="4" t="s">
        <v>176</v>
      </c>
      <c r="J49" s="4" t="s">
        <v>21</v>
      </c>
      <c r="K49" s="4" t="s">
        <v>22</v>
      </c>
      <c r="L49" s="4"/>
      <c r="M49" s="5"/>
      <c r="N49" s="4"/>
    </row>
    <row r="50" customFormat="false" ht="46.25" hidden="false" customHeight="false" outlineLevel="0" collapsed="false">
      <c r="A50" s="4" t="n">
        <v>46</v>
      </c>
      <c r="B50" s="4" t="s">
        <v>177</v>
      </c>
      <c r="C50" s="4" t="n">
        <v>10</v>
      </c>
      <c r="D50" s="4" t="n">
        <v>5</v>
      </c>
      <c r="E50" s="4" t="s">
        <v>30</v>
      </c>
      <c r="F50" s="4" t="s">
        <v>178</v>
      </c>
      <c r="G50" s="4" t="s">
        <v>175</v>
      </c>
      <c r="H50" s="4" t="n">
        <v>1</v>
      </c>
      <c r="I50" s="4" t="s">
        <v>179</v>
      </c>
      <c r="J50" s="4" t="s">
        <v>21</v>
      </c>
      <c r="K50" s="4" t="s">
        <v>22</v>
      </c>
      <c r="L50" s="4"/>
      <c r="M50" s="5"/>
      <c r="N50" s="4"/>
    </row>
    <row r="51" customFormat="false" ht="35.05" hidden="false" customHeight="false" outlineLevel="0" collapsed="false">
      <c r="A51" s="4" t="n">
        <v>47</v>
      </c>
      <c r="B51" s="4" t="s">
        <v>180</v>
      </c>
      <c r="C51" s="4" t="n">
        <v>10</v>
      </c>
      <c r="D51" s="4" t="n">
        <v>5</v>
      </c>
      <c r="E51" s="4" t="s">
        <v>17</v>
      </c>
      <c r="F51" s="4" t="s">
        <v>181</v>
      </c>
      <c r="G51" s="4" t="s">
        <v>182</v>
      </c>
      <c r="H51" s="4" t="n">
        <v>1</v>
      </c>
      <c r="I51" s="4" t="s">
        <v>183</v>
      </c>
      <c r="J51" s="4" t="s">
        <v>21</v>
      </c>
      <c r="K51" s="4" t="s">
        <v>22</v>
      </c>
      <c r="L51" s="4"/>
      <c r="M51" s="5"/>
      <c r="N51" s="4"/>
    </row>
    <row r="52" customFormat="false" ht="35.05" hidden="false" customHeight="false" outlineLevel="0" collapsed="false">
      <c r="A52" s="4" t="n">
        <v>48</v>
      </c>
      <c r="B52" s="4" t="s">
        <v>184</v>
      </c>
      <c r="C52" s="4" t="n">
        <v>10</v>
      </c>
      <c r="D52" s="4" t="n">
        <v>5</v>
      </c>
      <c r="E52" s="4" t="s">
        <v>30</v>
      </c>
      <c r="F52" s="4" t="s">
        <v>185</v>
      </c>
      <c r="G52" s="4" t="s">
        <v>182</v>
      </c>
      <c r="H52" s="4" t="n">
        <v>1</v>
      </c>
      <c r="I52" s="4" t="s">
        <v>186</v>
      </c>
      <c r="J52" s="4" t="s">
        <v>21</v>
      </c>
      <c r="K52" s="4" t="s">
        <v>22</v>
      </c>
      <c r="L52" s="4"/>
      <c r="M52" s="5"/>
      <c r="N52" s="4"/>
    </row>
    <row r="53" customFormat="false" ht="35.05" hidden="false" customHeight="false" outlineLevel="0" collapsed="false">
      <c r="A53" s="4" t="n">
        <v>49</v>
      </c>
      <c r="B53" s="4" t="s">
        <v>187</v>
      </c>
      <c r="C53" s="4" t="n">
        <v>10</v>
      </c>
      <c r="D53" s="4" t="n">
        <v>6</v>
      </c>
      <c r="E53" s="4" t="s">
        <v>17</v>
      </c>
      <c r="F53" s="4" t="s">
        <v>188</v>
      </c>
      <c r="G53" s="4" t="s">
        <v>189</v>
      </c>
      <c r="H53" s="4" t="n">
        <v>1</v>
      </c>
      <c r="I53" s="4" t="s">
        <v>190</v>
      </c>
      <c r="J53" s="4" t="s">
        <v>21</v>
      </c>
      <c r="K53" s="4" t="s">
        <v>22</v>
      </c>
      <c r="L53" s="4"/>
      <c r="M53" s="5"/>
      <c r="N53" s="4"/>
    </row>
    <row r="54" customFormat="false" ht="35.05" hidden="false" customHeight="false" outlineLevel="0" collapsed="false">
      <c r="A54" s="4" t="n">
        <v>50</v>
      </c>
      <c r="B54" s="4" t="s">
        <v>191</v>
      </c>
      <c r="C54" s="4" t="n">
        <v>10</v>
      </c>
      <c r="D54" s="4" t="n">
        <v>6</v>
      </c>
      <c r="E54" s="4" t="s">
        <v>30</v>
      </c>
      <c r="F54" s="4" t="s">
        <v>192</v>
      </c>
      <c r="G54" s="4" t="s">
        <v>189</v>
      </c>
      <c r="H54" s="4" t="n">
        <v>1</v>
      </c>
      <c r="I54" s="4" t="s">
        <v>193</v>
      </c>
      <c r="J54" s="4" t="s">
        <v>21</v>
      </c>
      <c r="K54" s="4" t="s">
        <v>22</v>
      </c>
      <c r="L54" s="4"/>
      <c r="M54" s="5"/>
      <c r="N54" s="4"/>
    </row>
    <row r="55" customFormat="false" ht="23.85" hidden="false" customHeight="false" outlineLevel="0" collapsed="false">
      <c r="A55" s="4" t="n">
        <v>51</v>
      </c>
      <c r="B55" s="4" t="s">
        <v>194</v>
      </c>
      <c r="C55" s="4" t="n">
        <v>10</v>
      </c>
      <c r="D55" s="4" t="n">
        <v>6</v>
      </c>
      <c r="E55" s="4" t="s">
        <v>17</v>
      </c>
      <c r="F55" s="4" t="s">
        <v>195</v>
      </c>
      <c r="G55" s="4" t="s">
        <v>196</v>
      </c>
      <c r="H55" s="4" t="n">
        <v>1</v>
      </c>
      <c r="I55" s="4" t="s">
        <v>197</v>
      </c>
      <c r="J55" s="4" t="s">
        <v>21</v>
      </c>
      <c r="K55" s="4" t="s">
        <v>22</v>
      </c>
      <c r="L55" s="4"/>
      <c r="M55" s="5"/>
      <c r="N55" s="4"/>
    </row>
    <row r="56" customFormat="false" ht="23.85" hidden="false" customHeight="false" outlineLevel="0" collapsed="false">
      <c r="A56" s="4" t="n">
        <v>52</v>
      </c>
      <c r="B56" s="4" t="s">
        <v>198</v>
      </c>
      <c r="C56" s="4" t="n">
        <v>10</v>
      </c>
      <c r="D56" s="4" t="n">
        <v>6</v>
      </c>
      <c r="E56" s="4" t="s">
        <v>30</v>
      </c>
      <c r="F56" s="4" t="s">
        <v>199</v>
      </c>
      <c r="G56" s="4" t="s">
        <v>196</v>
      </c>
      <c r="H56" s="4" t="n">
        <v>1</v>
      </c>
      <c r="I56" s="4" t="s">
        <v>200</v>
      </c>
      <c r="J56" s="4" t="s">
        <v>21</v>
      </c>
      <c r="K56" s="4" t="s">
        <v>22</v>
      </c>
      <c r="L56" s="4"/>
      <c r="M56" s="5"/>
      <c r="N56" s="4"/>
    </row>
    <row r="57" customFormat="false" ht="35.05" hidden="false" customHeight="false" outlineLevel="0" collapsed="false">
      <c r="A57" s="4" t="n">
        <v>53</v>
      </c>
      <c r="B57" s="4" t="s">
        <v>201</v>
      </c>
      <c r="C57" s="4" t="n">
        <v>10</v>
      </c>
      <c r="D57" s="4" t="n">
        <v>6</v>
      </c>
      <c r="E57" s="4" t="s">
        <v>17</v>
      </c>
      <c r="F57" s="4" t="s">
        <v>202</v>
      </c>
      <c r="G57" s="4" t="s">
        <v>203</v>
      </c>
      <c r="H57" s="4" t="n">
        <v>1</v>
      </c>
      <c r="I57" s="4" t="s">
        <v>204</v>
      </c>
      <c r="J57" s="4" t="s">
        <v>21</v>
      </c>
      <c r="K57" s="4" t="s">
        <v>22</v>
      </c>
      <c r="L57" s="4"/>
      <c r="M57" s="5"/>
      <c r="N57" s="4"/>
    </row>
    <row r="58" customFormat="false" ht="23.85" hidden="false" customHeight="false" outlineLevel="0" collapsed="false">
      <c r="A58" s="4" t="n">
        <v>54</v>
      </c>
      <c r="B58" s="4" t="s">
        <v>205</v>
      </c>
      <c r="C58" s="4" t="n">
        <v>10</v>
      </c>
      <c r="D58" s="4" t="n">
        <v>6</v>
      </c>
      <c r="E58" s="4" t="s">
        <v>30</v>
      </c>
      <c r="F58" s="4" t="s">
        <v>206</v>
      </c>
      <c r="G58" s="4" t="s">
        <v>203</v>
      </c>
      <c r="H58" s="4" t="n">
        <v>1</v>
      </c>
      <c r="I58" s="4" t="s">
        <v>207</v>
      </c>
      <c r="J58" s="4" t="s">
        <v>21</v>
      </c>
      <c r="K58" s="4" t="s">
        <v>22</v>
      </c>
      <c r="L58" s="4"/>
      <c r="M58" s="5"/>
      <c r="N58" s="4"/>
    </row>
    <row r="59" customFormat="false" ht="35.05" hidden="false" customHeight="false" outlineLevel="0" collapsed="false">
      <c r="A59" s="4" t="n">
        <v>55</v>
      </c>
      <c r="B59" s="4" t="s">
        <v>208</v>
      </c>
      <c r="C59" s="4" t="n">
        <v>10</v>
      </c>
      <c r="D59" s="4" t="n">
        <v>7</v>
      </c>
      <c r="E59" s="4" t="s">
        <v>17</v>
      </c>
      <c r="F59" s="4" t="s">
        <v>209</v>
      </c>
      <c r="G59" s="4" t="s">
        <v>210</v>
      </c>
      <c r="H59" s="4" t="n">
        <v>1</v>
      </c>
      <c r="I59" s="4" t="s">
        <v>211</v>
      </c>
      <c r="J59" s="4" t="s">
        <v>21</v>
      </c>
      <c r="K59" s="4" t="s">
        <v>22</v>
      </c>
      <c r="L59" s="4"/>
      <c r="M59" s="5"/>
      <c r="N59" s="4"/>
    </row>
    <row r="60" customFormat="false" ht="35.05" hidden="false" customHeight="false" outlineLevel="0" collapsed="false">
      <c r="A60" s="4" t="n">
        <v>56</v>
      </c>
      <c r="B60" s="4" t="s">
        <v>212</v>
      </c>
      <c r="C60" s="4" t="n">
        <v>10</v>
      </c>
      <c r="D60" s="4" t="n">
        <v>7</v>
      </c>
      <c r="E60" s="4" t="s">
        <v>30</v>
      </c>
      <c r="F60" s="4" t="s">
        <v>213</v>
      </c>
      <c r="G60" s="4" t="s">
        <v>210</v>
      </c>
      <c r="H60" s="4" t="n">
        <v>1</v>
      </c>
      <c r="I60" s="4" t="s">
        <v>214</v>
      </c>
      <c r="J60" s="4" t="s">
        <v>21</v>
      </c>
      <c r="K60" s="4" t="s">
        <v>22</v>
      </c>
      <c r="L60" s="4"/>
      <c r="M60" s="5"/>
      <c r="N60" s="4"/>
    </row>
    <row r="61" customFormat="false" ht="46.25" hidden="false" customHeight="false" outlineLevel="0" collapsed="false">
      <c r="A61" s="4" t="n">
        <v>57</v>
      </c>
      <c r="B61" s="4" t="s">
        <v>215</v>
      </c>
      <c r="C61" s="4" t="n">
        <v>10</v>
      </c>
      <c r="D61" s="4" t="n">
        <v>7</v>
      </c>
      <c r="E61" s="4" t="s">
        <v>17</v>
      </c>
      <c r="F61" s="4" t="s">
        <v>216</v>
      </c>
      <c r="G61" s="4" t="s">
        <v>217</v>
      </c>
      <c r="H61" s="4" t="n">
        <v>1</v>
      </c>
      <c r="I61" s="4" t="s">
        <v>218</v>
      </c>
      <c r="J61" s="4" t="s">
        <v>21</v>
      </c>
      <c r="K61" s="4" t="s">
        <v>22</v>
      </c>
      <c r="L61" s="4" t="s">
        <v>219</v>
      </c>
      <c r="M61" s="5"/>
      <c r="N61" s="4"/>
    </row>
    <row r="62" customFormat="false" ht="46.25" hidden="false" customHeight="false" outlineLevel="0" collapsed="false">
      <c r="A62" s="4" t="n">
        <v>58</v>
      </c>
      <c r="B62" s="4" t="s">
        <v>220</v>
      </c>
      <c r="C62" s="4" t="n">
        <v>10</v>
      </c>
      <c r="D62" s="4" t="n">
        <v>7</v>
      </c>
      <c r="E62" s="4" t="s">
        <v>30</v>
      </c>
      <c r="F62" s="4" t="s">
        <v>221</v>
      </c>
      <c r="G62" s="4" t="s">
        <v>217</v>
      </c>
      <c r="H62" s="4" t="n">
        <v>1</v>
      </c>
      <c r="I62" s="4" t="s">
        <v>222</v>
      </c>
      <c r="J62" s="4" t="s">
        <v>21</v>
      </c>
      <c r="K62" s="4" t="s">
        <v>22</v>
      </c>
      <c r="L62" s="4"/>
      <c r="M62" s="5"/>
      <c r="N62" s="4"/>
    </row>
    <row r="63" customFormat="false" ht="23.85" hidden="false" customHeight="false" outlineLevel="0" collapsed="false">
      <c r="A63" s="4" t="n">
        <v>59</v>
      </c>
      <c r="B63" s="4" t="s">
        <v>223</v>
      </c>
      <c r="C63" s="4" t="n">
        <v>10</v>
      </c>
      <c r="D63" s="4" t="n">
        <v>7</v>
      </c>
      <c r="E63" s="4" t="s">
        <v>17</v>
      </c>
      <c r="F63" s="4" t="s">
        <v>224</v>
      </c>
      <c r="G63" s="4" t="s">
        <v>225</v>
      </c>
      <c r="H63" s="4" t="n">
        <v>1</v>
      </c>
      <c r="I63" s="4" t="s">
        <v>226</v>
      </c>
      <c r="J63" s="4" t="s">
        <v>21</v>
      </c>
      <c r="K63" s="4" t="s">
        <v>22</v>
      </c>
      <c r="L63" s="4"/>
      <c r="M63" s="5"/>
      <c r="N63" s="4"/>
    </row>
    <row r="64" customFormat="false" ht="23.85" hidden="false" customHeight="false" outlineLevel="0" collapsed="false">
      <c r="A64" s="4" t="n">
        <v>60</v>
      </c>
      <c r="B64" s="4" t="s">
        <v>227</v>
      </c>
      <c r="C64" s="4" t="n">
        <v>10</v>
      </c>
      <c r="D64" s="4" t="n">
        <v>7</v>
      </c>
      <c r="E64" s="4" t="s">
        <v>30</v>
      </c>
      <c r="F64" s="4" t="s">
        <v>228</v>
      </c>
      <c r="G64" s="4" t="s">
        <v>225</v>
      </c>
      <c r="H64" s="4" t="n">
        <v>1</v>
      </c>
      <c r="I64" s="4" t="s">
        <v>229</v>
      </c>
      <c r="J64" s="4" t="s">
        <v>21</v>
      </c>
      <c r="K64" s="4" t="s">
        <v>22</v>
      </c>
      <c r="L64" s="4"/>
      <c r="M64" s="5"/>
      <c r="N64" s="4"/>
    </row>
    <row r="65" customFormat="false" ht="35.05" hidden="false" customHeight="false" outlineLevel="0" collapsed="false">
      <c r="A65" s="4" t="n">
        <v>61</v>
      </c>
      <c r="B65" s="4" t="s">
        <v>230</v>
      </c>
      <c r="C65" s="4" t="n">
        <v>10</v>
      </c>
      <c r="D65" s="4" t="n">
        <v>7</v>
      </c>
      <c r="E65" s="4" t="s">
        <v>17</v>
      </c>
      <c r="F65" s="4" t="s">
        <v>231</v>
      </c>
      <c r="G65" s="4" t="s">
        <v>232</v>
      </c>
      <c r="H65" s="4" t="n">
        <v>1</v>
      </c>
      <c r="I65" s="4" t="s">
        <v>233</v>
      </c>
      <c r="J65" s="4" t="s">
        <v>21</v>
      </c>
      <c r="K65" s="4" t="s">
        <v>22</v>
      </c>
      <c r="L65" s="4"/>
      <c r="M65" s="5"/>
      <c r="N65" s="4"/>
    </row>
    <row r="66" customFormat="false" ht="35.05" hidden="false" customHeight="false" outlineLevel="0" collapsed="false">
      <c r="A66" s="4" t="n">
        <v>62</v>
      </c>
      <c r="B66" s="4" t="s">
        <v>234</v>
      </c>
      <c r="C66" s="4" t="n">
        <v>10</v>
      </c>
      <c r="D66" s="4" t="n">
        <v>7</v>
      </c>
      <c r="E66" s="4" t="s">
        <v>30</v>
      </c>
      <c r="F66" s="4" t="s">
        <v>235</v>
      </c>
      <c r="G66" s="4" t="s">
        <v>232</v>
      </c>
      <c r="H66" s="4" t="n">
        <v>1</v>
      </c>
      <c r="I66" s="4" t="s">
        <v>236</v>
      </c>
      <c r="J66" s="4" t="s">
        <v>21</v>
      </c>
      <c r="K66" s="4" t="s">
        <v>22</v>
      </c>
      <c r="L66" s="4"/>
      <c r="M66" s="5"/>
      <c r="N66" s="4"/>
    </row>
    <row r="67" customFormat="false" ht="35.05" hidden="false" customHeight="false" outlineLevel="0" collapsed="false">
      <c r="A67" s="4" t="n">
        <v>63</v>
      </c>
      <c r="B67" s="4" t="s">
        <v>237</v>
      </c>
      <c r="C67" s="4" t="n">
        <v>10</v>
      </c>
      <c r="D67" s="4" t="n">
        <v>7</v>
      </c>
      <c r="E67" s="4" t="s">
        <v>17</v>
      </c>
      <c r="F67" s="4" t="s">
        <v>238</v>
      </c>
      <c r="G67" s="4" t="s">
        <v>239</v>
      </c>
      <c r="H67" s="4" t="n">
        <v>1</v>
      </c>
      <c r="I67" s="4" t="s">
        <v>240</v>
      </c>
      <c r="J67" s="4" t="s">
        <v>21</v>
      </c>
      <c r="K67" s="4" t="s">
        <v>22</v>
      </c>
      <c r="L67" s="4"/>
      <c r="M67" s="5"/>
      <c r="N67" s="4"/>
    </row>
    <row r="68" customFormat="false" ht="35.05" hidden="false" customHeight="false" outlineLevel="0" collapsed="false">
      <c r="A68" s="4" t="n">
        <v>64</v>
      </c>
      <c r="B68" s="4" t="s">
        <v>241</v>
      </c>
      <c r="C68" s="4" t="n">
        <v>10</v>
      </c>
      <c r="D68" s="4" t="n">
        <v>7</v>
      </c>
      <c r="E68" s="4" t="s">
        <v>30</v>
      </c>
      <c r="F68" s="4" t="s">
        <v>242</v>
      </c>
      <c r="G68" s="4" t="s">
        <v>239</v>
      </c>
      <c r="H68" s="4" t="n">
        <v>1</v>
      </c>
      <c r="I68" s="4" t="s">
        <v>243</v>
      </c>
      <c r="J68" s="4" t="s">
        <v>21</v>
      </c>
      <c r="K68" s="4" t="s">
        <v>22</v>
      </c>
      <c r="L68" s="4"/>
      <c r="M68" s="5"/>
      <c r="N68" s="4"/>
    </row>
    <row r="69" customFormat="false" ht="35.05" hidden="false" customHeight="false" outlineLevel="0" collapsed="false">
      <c r="A69" s="4" t="n">
        <v>65</v>
      </c>
      <c r="B69" s="4" t="s">
        <v>244</v>
      </c>
      <c r="C69" s="4" t="n">
        <v>10</v>
      </c>
      <c r="D69" s="4" t="n">
        <v>7</v>
      </c>
      <c r="E69" s="4" t="s">
        <v>17</v>
      </c>
      <c r="F69" s="4" t="s">
        <v>245</v>
      </c>
      <c r="G69" s="4" t="s">
        <v>246</v>
      </c>
      <c r="H69" s="4" t="n">
        <v>1</v>
      </c>
      <c r="I69" s="4" t="s">
        <v>247</v>
      </c>
      <c r="J69" s="4" t="s">
        <v>21</v>
      </c>
      <c r="K69" s="4" t="s">
        <v>22</v>
      </c>
      <c r="L69" s="4"/>
      <c r="M69" s="5"/>
      <c r="N69" s="4"/>
    </row>
    <row r="70" customFormat="false" ht="23.85" hidden="false" customHeight="false" outlineLevel="0" collapsed="false">
      <c r="A70" s="4" t="n">
        <v>66</v>
      </c>
      <c r="B70" s="4" t="s">
        <v>248</v>
      </c>
      <c r="C70" s="4" t="n">
        <v>10</v>
      </c>
      <c r="D70" s="4" t="n">
        <v>7</v>
      </c>
      <c r="E70" s="4" t="s">
        <v>30</v>
      </c>
      <c r="F70" s="4" t="s">
        <v>249</v>
      </c>
      <c r="G70" s="4" t="s">
        <v>246</v>
      </c>
      <c r="H70" s="4" t="n">
        <v>1</v>
      </c>
      <c r="I70" s="4" t="s">
        <v>250</v>
      </c>
      <c r="J70" s="4" t="s">
        <v>21</v>
      </c>
      <c r="K70" s="4" t="s">
        <v>22</v>
      </c>
      <c r="L70" s="4"/>
      <c r="M70" s="5"/>
      <c r="N70" s="4"/>
    </row>
    <row r="71" customFormat="false" ht="35.05" hidden="false" customHeight="false" outlineLevel="0" collapsed="false">
      <c r="A71" s="4" t="n">
        <v>67</v>
      </c>
      <c r="B71" s="4" t="s">
        <v>251</v>
      </c>
      <c r="C71" s="4" t="n">
        <v>10</v>
      </c>
      <c r="D71" s="4" t="n">
        <v>7</v>
      </c>
      <c r="E71" s="4" t="s">
        <v>17</v>
      </c>
      <c r="F71" s="4" t="s">
        <v>252</v>
      </c>
      <c r="G71" s="4" t="s">
        <v>253</v>
      </c>
      <c r="H71" s="4" t="n">
        <v>1</v>
      </c>
      <c r="I71" s="4" t="s">
        <v>254</v>
      </c>
      <c r="J71" s="4" t="s">
        <v>21</v>
      </c>
      <c r="K71" s="4" t="s">
        <v>22</v>
      </c>
      <c r="L71" s="4"/>
      <c r="M71" s="5"/>
      <c r="N71" s="4"/>
    </row>
    <row r="72" customFormat="false" ht="35.05" hidden="false" customHeight="false" outlineLevel="0" collapsed="false">
      <c r="A72" s="4" t="n">
        <v>68</v>
      </c>
      <c r="B72" s="4" t="s">
        <v>255</v>
      </c>
      <c r="C72" s="4" t="n">
        <v>10</v>
      </c>
      <c r="D72" s="4" t="n">
        <v>7</v>
      </c>
      <c r="E72" s="4" t="s">
        <v>30</v>
      </c>
      <c r="F72" s="4" t="s">
        <v>256</v>
      </c>
      <c r="G72" s="4" t="s">
        <v>253</v>
      </c>
      <c r="H72" s="4" t="n">
        <v>1</v>
      </c>
      <c r="I72" s="4" t="s">
        <v>257</v>
      </c>
      <c r="J72" s="4" t="s">
        <v>21</v>
      </c>
      <c r="K72" s="4" t="s">
        <v>22</v>
      </c>
      <c r="L72" s="4"/>
      <c r="M72" s="5"/>
      <c r="N72" s="4"/>
    </row>
    <row r="73" customFormat="false" ht="35.05" hidden="false" customHeight="false" outlineLevel="0" collapsed="false">
      <c r="A73" s="4" t="n">
        <v>69</v>
      </c>
      <c r="B73" s="4" t="s">
        <v>258</v>
      </c>
      <c r="C73" s="4" t="n">
        <v>10</v>
      </c>
      <c r="D73" s="4" t="n">
        <v>8</v>
      </c>
      <c r="E73" s="4" t="s">
        <v>17</v>
      </c>
      <c r="F73" s="4" t="s">
        <v>259</v>
      </c>
      <c r="G73" s="4" t="s">
        <v>260</v>
      </c>
      <c r="H73" s="4" t="n">
        <v>1</v>
      </c>
      <c r="I73" s="4" t="s">
        <v>261</v>
      </c>
      <c r="J73" s="4" t="s">
        <v>21</v>
      </c>
      <c r="K73" s="4" t="s">
        <v>22</v>
      </c>
      <c r="L73" s="4"/>
      <c r="M73" s="5"/>
      <c r="N73" s="4"/>
    </row>
    <row r="74" customFormat="false" ht="23.85" hidden="false" customHeight="false" outlineLevel="0" collapsed="false">
      <c r="A74" s="4" t="n">
        <v>70</v>
      </c>
      <c r="B74" s="4" t="s">
        <v>262</v>
      </c>
      <c r="C74" s="4" t="n">
        <v>10</v>
      </c>
      <c r="D74" s="4" t="n">
        <v>8</v>
      </c>
      <c r="E74" s="4" t="s">
        <v>17</v>
      </c>
      <c r="F74" s="4" t="s">
        <v>263</v>
      </c>
      <c r="G74" s="4" t="s">
        <v>260</v>
      </c>
      <c r="H74" s="4" t="n">
        <v>1</v>
      </c>
      <c r="I74" s="4" t="s">
        <v>264</v>
      </c>
      <c r="J74" s="4" t="s">
        <v>21</v>
      </c>
      <c r="K74" s="4" t="s">
        <v>22</v>
      </c>
      <c r="L74" s="4"/>
      <c r="M74" s="5"/>
      <c r="N74" s="4"/>
    </row>
    <row r="75" customFormat="false" ht="35.05" hidden="false" customHeight="false" outlineLevel="0" collapsed="false">
      <c r="A75" s="4" t="n">
        <v>71</v>
      </c>
      <c r="B75" s="4" t="s">
        <v>265</v>
      </c>
      <c r="C75" s="4" t="n">
        <v>10</v>
      </c>
      <c r="D75" s="4" t="n">
        <v>8</v>
      </c>
      <c r="E75" s="4" t="s">
        <v>30</v>
      </c>
      <c r="F75" s="4" t="s">
        <v>259</v>
      </c>
      <c r="G75" s="4" t="s">
        <v>260</v>
      </c>
      <c r="H75" s="4" t="n">
        <v>1</v>
      </c>
      <c r="I75" s="4" t="s">
        <v>266</v>
      </c>
      <c r="J75" s="4" t="s">
        <v>21</v>
      </c>
      <c r="K75" s="4" t="s">
        <v>22</v>
      </c>
      <c r="L75" s="4"/>
      <c r="M75" s="5"/>
      <c r="N75" s="4"/>
    </row>
    <row r="76" customFormat="false" ht="23.85" hidden="false" customHeight="false" outlineLevel="0" collapsed="false">
      <c r="A76" s="4" t="n">
        <v>72</v>
      </c>
      <c r="B76" s="4" t="s">
        <v>267</v>
      </c>
      <c r="C76" s="4" t="n">
        <v>10</v>
      </c>
      <c r="D76" s="4" t="n">
        <v>8</v>
      </c>
      <c r="E76" s="4" t="s">
        <v>30</v>
      </c>
      <c r="F76" s="4" t="s">
        <v>268</v>
      </c>
      <c r="G76" s="4" t="s">
        <v>260</v>
      </c>
      <c r="H76" s="4" t="n">
        <v>1</v>
      </c>
      <c r="I76" s="4" t="s">
        <v>269</v>
      </c>
      <c r="J76" s="4" t="s">
        <v>21</v>
      </c>
      <c r="K76" s="4" t="s">
        <v>22</v>
      </c>
      <c r="L76" s="4"/>
      <c r="M76" s="5"/>
      <c r="N76" s="4"/>
    </row>
    <row r="77" customFormat="false" ht="35.05" hidden="false" customHeight="false" outlineLevel="0" collapsed="false">
      <c r="A77" s="4" t="n">
        <v>73</v>
      </c>
      <c r="B77" s="4" t="s">
        <v>270</v>
      </c>
      <c r="C77" s="4" t="n">
        <v>10</v>
      </c>
      <c r="D77" s="4" t="n">
        <v>8</v>
      </c>
      <c r="E77" s="4" t="s">
        <v>17</v>
      </c>
      <c r="F77" s="4" t="s">
        <v>271</v>
      </c>
      <c r="G77" s="4" t="s">
        <v>272</v>
      </c>
      <c r="H77" s="4" t="n">
        <v>1</v>
      </c>
      <c r="I77" s="4" t="s">
        <v>273</v>
      </c>
      <c r="J77" s="4" t="s">
        <v>21</v>
      </c>
      <c r="K77" s="4" t="s">
        <v>22</v>
      </c>
      <c r="L77" s="4" t="s">
        <v>274</v>
      </c>
      <c r="M77" s="5"/>
      <c r="N77" s="4"/>
    </row>
    <row r="78" customFormat="false" ht="35.05" hidden="false" customHeight="false" outlineLevel="0" collapsed="false">
      <c r="A78" s="4" t="n">
        <v>74</v>
      </c>
      <c r="B78" s="4" t="s">
        <v>275</v>
      </c>
      <c r="C78" s="4" t="n">
        <v>10</v>
      </c>
      <c r="D78" s="4" t="n">
        <v>8</v>
      </c>
      <c r="E78" s="4" t="s">
        <v>17</v>
      </c>
      <c r="F78" s="4" t="s">
        <v>276</v>
      </c>
      <c r="G78" s="4" t="s">
        <v>272</v>
      </c>
      <c r="H78" s="4" t="n">
        <v>1</v>
      </c>
      <c r="I78" s="4" t="s">
        <v>277</v>
      </c>
      <c r="J78" s="4" t="s">
        <v>21</v>
      </c>
      <c r="K78" s="4" t="s">
        <v>22</v>
      </c>
      <c r="L78" s="4" t="s">
        <v>278</v>
      </c>
      <c r="M78" s="5"/>
      <c r="N78" s="4"/>
    </row>
    <row r="79" customFormat="false" ht="35.05" hidden="false" customHeight="false" outlineLevel="0" collapsed="false">
      <c r="A79" s="4" t="n">
        <v>75</v>
      </c>
      <c r="B79" s="4" t="s">
        <v>279</v>
      </c>
      <c r="C79" s="4" t="n">
        <v>10</v>
      </c>
      <c r="D79" s="4" t="n">
        <v>8</v>
      </c>
      <c r="E79" s="4" t="s">
        <v>30</v>
      </c>
      <c r="F79" s="4" t="s">
        <v>280</v>
      </c>
      <c r="G79" s="4" t="s">
        <v>272</v>
      </c>
      <c r="H79" s="4" t="n">
        <v>1</v>
      </c>
      <c r="I79" s="4" t="s">
        <v>281</v>
      </c>
      <c r="J79" s="4" t="s">
        <v>21</v>
      </c>
      <c r="K79" s="4" t="s">
        <v>22</v>
      </c>
      <c r="L79" s="4"/>
      <c r="M79" s="5"/>
      <c r="N79" s="4"/>
    </row>
    <row r="80" customFormat="false" ht="35.05" hidden="false" customHeight="false" outlineLevel="0" collapsed="false">
      <c r="A80" s="4" t="n">
        <v>76</v>
      </c>
      <c r="B80" s="4" t="s">
        <v>282</v>
      </c>
      <c r="C80" s="4" t="n">
        <v>10</v>
      </c>
      <c r="D80" s="4" t="n">
        <v>8</v>
      </c>
      <c r="E80" s="4" t="s">
        <v>30</v>
      </c>
      <c r="F80" s="4" t="s">
        <v>283</v>
      </c>
      <c r="G80" s="4" t="s">
        <v>272</v>
      </c>
      <c r="H80" s="4" t="n">
        <v>1</v>
      </c>
      <c r="I80" s="4" t="s">
        <v>284</v>
      </c>
      <c r="J80" s="4" t="s">
        <v>21</v>
      </c>
      <c r="K80" s="4" t="s">
        <v>22</v>
      </c>
      <c r="L80" s="4"/>
      <c r="M80" s="5"/>
      <c r="N80" s="4"/>
    </row>
    <row r="81" customFormat="false" ht="23.85" hidden="false" customHeight="false" outlineLevel="0" collapsed="false">
      <c r="A81" s="4" t="n">
        <v>77</v>
      </c>
      <c r="B81" s="4" t="s">
        <v>285</v>
      </c>
      <c r="C81" s="4" t="n">
        <v>10</v>
      </c>
      <c r="D81" s="4" t="n">
        <v>8</v>
      </c>
      <c r="E81" s="4" t="s">
        <v>17</v>
      </c>
      <c r="F81" s="4" t="s">
        <v>286</v>
      </c>
      <c r="G81" s="4" t="s">
        <v>287</v>
      </c>
      <c r="H81" s="4" t="n">
        <v>1</v>
      </c>
      <c r="I81" s="4" t="s">
        <v>288</v>
      </c>
      <c r="J81" s="4" t="s">
        <v>21</v>
      </c>
      <c r="K81" s="4" t="s">
        <v>22</v>
      </c>
      <c r="L81" s="4" t="s">
        <v>289</v>
      </c>
      <c r="M81" s="5"/>
      <c r="N81" s="4"/>
    </row>
    <row r="82" customFormat="false" ht="23.85" hidden="false" customHeight="false" outlineLevel="0" collapsed="false">
      <c r="A82" s="4" t="n">
        <v>78</v>
      </c>
      <c r="B82" s="4" t="s">
        <v>290</v>
      </c>
      <c r="C82" s="4" t="n">
        <v>10</v>
      </c>
      <c r="D82" s="4" t="n">
        <v>8</v>
      </c>
      <c r="E82" s="4" t="s">
        <v>30</v>
      </c>
      <c r="F82" s="4" t="s">
        <v>291</v>
      </c>
      <c r="G82" s="4" t="s">
        <v>287</v>
      </c>
      <c r="H82" s="4" t="n">
        <v>1</v>
      </c>
      <c r="I82" s="4" t="s">
        <v>292</v>
      </c>
      <c r="J82" s="4" t="s">
        <v>21</v>
      </c>
      <c r="K82" s="4" t="s">
        <v>22</v>
      </c>
      <c r="L82" s="4"/>
      <c r="M82" s="5"/>
      <c r="N82" s="4"/>
    </row>
    <row r="83" customFormat="false" ht="35.05" hidden="false" customHeight="false" outlineLevel="0" collapsed="false">
      <c r="A83" s="4" t="n">
        <v>79</v>
      </c>
      <c r="B83" s="4" t="s">
        <v>293</v>
      </c>
      <c r="C83" s="4" t="n">
        <v>10</v>
      </c>
      <c r="D83" s="4" t="n">
        <v>9</v>
      </c>
      <c r="E83" s="4" t="s">
        <v>17</v>
      </c>
      <c r="F83" s="4" t="s">
        <v>294</v>
      </c>
      <c r="G83" s="4" t="s">
        <v>295</v>
      </c>
      <c r="H83" s="4" t="n">
        <v>1</v>
      </c>
      <c r="I83" s="4" t="s">
        <v>296</v>
      </c>
      <c r="J83" s="6" t="s">
        <v>78</v>
      </c>
      <c r="K83" s="4" t="s">
        <v>297</v>
      </c>
      <c r="L83" s="4"/>
      <c r="M83" s="5"/>
      <c r="N83" s="4"/>
    </row>
    <row r="84" customFormat="false" ht="35.05" hidden="false" customHeight="false" outlineLevel="0" collapsed="false">
      <c r="A84" s="4" t="n">
        <v>80</v>
      </c>
      <c r="B84" s="4" t="s">
        <v>298</v>
      </c>
      <c r="C84" s="4" t="n">
        <v>10</v>
      </c>
      <c r="D84" s="4" t="n">
        <v>9</v>
      </c>
      <c r="E84" s="4" t="s">
        <v>17</v>
      </c>
      <c r="F84" s="4" t="s">
        <v>299</v>
      </c>
      <c r="G84" s="4" t="s">
        <v>295</v>
      </c>
      <c r="H84" s="4" t="n">
        <v>1</v>
      </c>
      <c r="I84" s="4" t="s">
        <v>300</v>
      </c>
      <c r="J84" s="6" t="s">
        <v>78</v>
      </c>
      <c r="K84" s="4" t="s">
        <v>301</v>
      </c>
      <c r="L84" s="4"/>
      <c r="M84" s="5"/>
      <c r="N84" s="4"/>
    </row>
    <row r="85" customFormat="false" ht="46.25" hidden="false" customHeight="false" outlineLevel="0" collapsed="false">
      <c r="A85" s="4" t="n">
        <v>81</v>
      </c>
      <c r="B85" s="4" t="s">
        <v>302</v>
      </c>
      <c r="C85" s="4" t="n">
        <v>10</v>
      </c>
      <c r="D85" s="4" t="n">
        <v>9</v>
      </c>
      <c r="E85" s="4" t="s">
        <v>30</v>
      </c>
      <c r="F85" s="4" t="s">
        <v>303</v>
      </c>
      <c r="G85" s="4" t="s">
        <v>295</v>
      </c>
      <c r="H85" s="4" t="n">
        <v>1</v>
      </c>
      <c r="I85" s="4" t="s">
        <v>304</v>
      </c>
      <c r="J85" s="4" t="s">
        <v>21</v>
      </c>
      <c r="K85" s="4" t="s">
        <v>22</v>
      </c>
      <c r="L85" s="4"/>
      <c r="M85" s="5"/>
      <c r="N85" s="4"/>
    </row>
    <row r="86" customFormat="false" ht="57.45" hidden="false" customHeight="false" outlineLevel="0" collapsed="false">
      <c r="A86" s="4" t="n">
        <v>82</v>
      </c>
      <c r="B86" s="4" t="s">
        <v>305</v>
      </c>
      <c r="C86" s="4" t="n">
        <v>11</v>
      </c>
      <c r="D86" s="4" t="n">
        <v>1</v>
      </c>
      <c r="E86" s="4" t="s">
        <v>17</v>
      </c>
      <c r="F86" s="4" t="s">
        <v>306</v>
      </c>
      <c r="G86" s="4" t="s">
        <v>307</v>
      </c>
      <c r="H86" s="4" t="n">
        <v>1</v>
      </c>
      <c r="I86" s="4" t="s">
        <v>308</v>
      </c>
      <c r="J86" s="4" t="s">
        <v>21</v>
      </c>
      <c r="K86" s="4" t="s">
        <v>22</v>
      </c>
      <c r="L86" s="4"/>
      <c r="M86" s="5"/>
      <c r="N86" s="4"/>
    </row>
    <row r="87" customFormat="false" ht="57.45" hidden="false" customHeight="false" outlineLevel="0" collapsed="false">
      <c r="A87" s="4" t="n">
        <v>83</v>
      </c>
      <c r="B87" s="4" t="s">
        <v>309</v>
      </c>
      <c r="C87" s="4" t="n">
        <v>11</v>
      </c>
      <c r="D87" s="4" t="n">
        <v>1</v>
      </c>
      <c r="E87" s="4" t="s">
        <v>30</v>
      </c>
      <c r="F87" s="4" t="s">
        <v>310</v>
      </c>
      <c r="G87" s="4" t="s">
        <v>307</v>
      </c>
      <c r="H87" s="4" t="n">
        <v>1</v>
      </c>
      <c r="I87" s="4" t="s">
        <v>311</v>
      </c>
      <c r="J87" s="4" t="s">
        <v>21</v>
      </c>
      <c r="K87" s="4" t="s">
        <v>22</v>
      </c>
      <c r="L87" s="4"/>
      <c r="M87" s="5"/>
      <c r="N87" s="4"/>
    </row>
    <row r="88" customFormat="false" ht="35.05" hidden="false" customHeight="false" outlineLevel="0" collapsed="false">
      <c r="A88" s="4" t="n">
        <v>84</v>
      </c>
      <c r="B88" s="4" t="s">
        <v>312</v>
      </c>
      <c r="C88" s="4" t="n">
        <v>11</v>
      </c>
      <c r="D88" s="4" t="n">
        <v>1</v>
      </c>
      <c r="E88" s="4" t="s">
        <v>17</v>
      </c>
      <c r="F88" s="4" t="s">
        <v>313</v>
      </c>
      <c r="G88" s="4" t="s">
        <v>314</v>
      </c>
      <c r="H88" s="4" t="n">
        <v>1</v>
      </c>
      <c r="I88" s="4" t="s">
        <v>315</v>
      </c>
      <c r="J88" s="4" t="s">
        <v>21</v>
      </c>
      <c r="K88" s="4" t="s">
        <v>22</v>
      </c>
      <c r="L88" s="4"/>
      <c r="M88" s="5"/>
      <c r="N88" s="4"/>
    </row>
    <row r="89" customFormat="false" ht="35.05" hidden="false" customHeight="false" outlineLevel="0" collapsed="false">
      <c r="A89" s="4" t="n">
        <v>85</v>
      </c>
      <c r="B89" s="4" t="s">
        <v>316</v>
      </c>
      <c r="C89" s="4" t="n">
        <v>11</v>
      </c>
      <c r="D89" s="4" t="n">
        <v>1</v>
      </c>
      <c r="E89" s="4" t="s">
        <v>30</v>
      </c>
      <c r="F89" s="4" t="s">
        <v>317</v>
      </c>
      <c r="G89" s="4" t="s">
        <v>314</v>
      </c>
      <c r="H89" s="4" t="n">
        <v>1</v>
      </c>
      <c r="I89" s="4" t="s">
        <v>318</v>
      </c>
      <c r="J89" s="4" t="s">
        <v>21</v>
      </c>
      <c r="K89" s="4" t="s">
        <v>22</v>
      </c>
      <c r="L89" s="4"/>
      <c r="M89" s="5"/>
      <c r="N89" s="4"/>
    </row>
    <row r="90" customFormat="false" ht="57.45" hidden="false" customHeight="false" outlineLevel="0" collapsed="false">
      <c r="A90" s="4" t="n">
        <v>86</v>
      </c>
      <c r="B90" s="4" t="s">
        <v>319</v>
      </c>
      <c r="C90" s="4" t="n">
        <v>11</v>
      </c>
      <c r="D90" s="4" t="n">
        <v>1</v>
      </c>
      <c r="E90" s="4" t="s">
        <v>17</v>
      </c>
      <c r="F90" s="4" t="s">
        <v>320</v>
      </c>
      <c r="G90" s="4" t="s">
        <v>321</v>
      </c>
      <c r="H90" s="4" t="n">
        <v>1</v>
      </c>
      <c r="I90" s="4" t="s">
        <v>322</v>
      </c>
      <c r="J90" s="4" t="s">
        <v>21</v>
      </c>
      <c r="K90" s="4" t="s">
        <v>22</v>
      </c>
      <c r="L90" s="4"/>
      <c r="M90" s="5"/>
      <c r="N90" s="4"/>
    </row>
    <row r="91" customFormat="false" ht="35.05" hidden="false" customHeight="false" outlineLevel="0" collapsed="false">
      <c r="A91" s="4" t="n">
        <v>87</v>
      </c>
      <c r="B91" s="4" t="s">
        <v>323</v>
      </c>
      <c r="C91" s="4" t="n">
        <v>11</v>
      </c>
      <c r="D91" s="4" t="n">
        <v>1</v>
      </c>
      <c r="E91" s="4" t="s">
        <v>30</v>
      </c>
      <c r="F91" s="4" t="s">
        <v>324</v>
      </c>
      <c r="G91" s="4" t="s">
        <v>321</v>
      </c>
      <c r="H91" s="4" t="n">
        <v>1</v>
      </c>
      <c r="I91" s="4" t="s">
        <v>325</v>
      </c>
      <c r="J91" s="4" t="s">
        <v>21</v>
      </c>
      <c r="K91" s="4" t="s">
        <v>22</v>
      </c>
      <c r="L91" s="4"/>
      <c r="M91" s="5"/>
      <c r="N91" s="4"/>
    </row>
    <row r="92" customFormat="false" ht="23.85" hidden="false" customHeight="false" outlineLevel="0" collapsed="false">
      <c r="A92" s="4" t="n">
        <v>88</v>
      </c>
      <c r="B92" s="4" t="s">
        <v>326</v>
      </c>
      <c r="C92" s="4" t="n">
        <v>11</v>
      </c>
      <c r="D92" s="4" t="n">
        <v>2</v>
      </c>
      <c r="E92" s="4" t="s">
        <v>17</v>
      </c>
      <c r="F92" s="4" t="s">
        <v>327</v>
      </c>
      <c r="G92" s="4" t="s">
        <v>328</v>
      </c>
      <c r="H92" s="4" t="n">
        <v>1</v>
      </c>
      <c r="I92" s="4" t="s">
        <v>329</v>
      </c>
      <c r="J92" s="4" t="s">
        <v>21</v>
      </c>
      <c r="K92" s="4" t="s">
        <v>22</v>
      </c>
      <c r="L92" s="4"/>
      <c r="M92" s="5"/>
      <c r="N92" s="4"/>
    </row>
    <row r="93" customFormat="false" ht="23.85" hidden="false" customHeight="false" outlineLevel="0" collapsed="false">
      <c r="A93" s="4" t="n">
        <v>89</v>
      </c>
      <c r="B93" s="4" t="s">
        <v>330</v>
      </c>
      <c r="C93" s="4" t="n">
        <v>11</v>
      </c>
      <c r="D93" s="4" t="n">
        <v>2</v>
      </c>
      <c r="E93" s="4" t="s">
        <v>30</v>
      </c>
      <c r="F93" s="4" t="s">
        <v>331</v>
      </c>
      <c r="G93" s="4" t="s">
        <v>328</v>
      </c>
      <c r="H93" s="4" t="n">
        <v>1</v>
      </c>
      <c r="I93" s="4" t="s">
        <v>332</v>
      </c>
      <c r="J93" s="4" t="s">
        <v>21</v>
      </c>
      <c r="K93" s="4" t="s">
        <v>22</v>
      </c>
      <c r="L93" s="4"/>
      <c r="M93" s="5"/>
      <c r="N93" s="4"/>
    </row>
    <row r="94" customFormat="false" ht="23.85" hidden="false" customHeight="false" outlineLevel="0" collapsed="false">
      <c r="A94" s="4" t="n">
        <v>90</v>
      </c>
      <c r="B94" s="4" t="s">
        <v>333</v>
      </c>
      <c r="C94" s="4" t="n">
        <v>11</v>
      </c>
      <c r="D94" s="4" t="n">
        <v>2</v>
      </c>
      <c r="E94" s="4" t="s">
        <v>17</v>
      </c>
      <c r="F94" s="4" t="s">
        <v>334</v>
      </c>
      <c r="G94" s="4" t="s">
        <v>335</v>
      </c>
      <c r="H94" s="4" t="n">
        <v>1</v>
      </c>
      <c r="I94" s="4" t="s">
        <v>336</v>
      </c>
      <c r="J94" s="4" t="s">
        <v>21</v>
      </c>
      <c r="K94" s="4" t="s">
        <v>22</v>
      </c>
      <c r="L94" s="4" t="s">
        <v>337</v>
      </c>
      <c r="M94" s="5"/>
      <c r="N94" s="4"/>
    </row>
    <row r="95" customFormat="false" ht="23.85" hidden="false" customHeight="false" outlineLevel="0" collapsed="false">
      <c r="A95" s="4" t="n">
        <v>91</v>
      </c>
      <c r="B95" s="4" t="s">
        <v>338</v>
      </c>
      <c r="C95" s="4" t="n">
        <v>11</v>
      </c>
      <c r="D95" s="4" t="n">
        <v>2</v>
      </c>
      <c r="E95" s="4" t="s">
        <v>30</v>
      </c>
      <c r="F95" s="4" t="s">
        <v>339</v>
      </c>
      <c r="G95" s="4" t="s">
        <v>335</v>
      </c>
      <c r="H95" s="4" t="n">
        <v>1</v>
      </c>
      <c r="I95" s="4" t="s">
        <v>340</v>
      </c>
      <c r="J95" s="4" t="s">
        <v>21</v>
      </c>
      <c r="K95" s="4" t="s">
        <v>22</v>
      </c>
      <c r="L95" s="4"/>
      <c r="M95" s="5"/>
      <c r="N95" s="4"/>
    </row>
    <row r="96" customFormat="false" ht="57.45" hidden="false" customHeight="false" outlineLevel="0" collapsed="false">
      <c r="A96" s="4" t="n">
        <v>92</v>
      </c>
      <c r="B96" s="4" t="s">
        <v>341</v>
      </c>
      <c r="C96" s="4" t="n">
        <v>11</v>
      </c>
      <c r="D96" s="4" t="n">
        <v>3</v>
      </c>
      <c r="E96" s="4" t="s">
        <v>17</v>
      </c>
      <c r="F96" s="4" t="s">
        <v>342</v>
      </c>
      <c r="G96" s="4" t="s">
        <v>343</v>
      </c>
      <c r="H96" s="4" t="n">
        <v>1</v>
      </c>
      <c r="I96" s="4" t="s">
        <v>344</v>
      </c>
      <c r="J96" s="4" t="s">
        <v>21</v>
      </c>
      <c r="K96" s="4" t="s">
        <v>22</v>
      </c>
      <c r="L96" s="4"/>
      <c r="M96" s="5"/>
      <c r="N96" s="4"/>
    </row>
    <row r="97" customFormat="false" ht="57.45" hidden="false" customHeight="false" outlineLevel="0" collapsed="false">
      <c r="A97" s="4" t="n">
        <v>93</v>
      </c>
      <c r="B97" s="4" t="s">
        <v>345</v>
      </c>
      <c r="C97" s="4" t="n">
        <v>11</v>
      </c>
      <c r="D97" s="4" t="n">
        <v>3</v>
      </c>
      <c r="E97" s="4" t="s">
        <v>30</v>
      </c>
      <c r="F97" s="4" t="s">
        <v>346</v>
      </c>
      <c r="G97" s="4" t="s">
        <v>343</v>
      </c>
      <c r="H97" s="4" t="n">
        <v>1</v>
      </c>
      <c r="I97" s="4" t="s">
        <v>344</v>
      </c>
      <c r="J97" s="4" t="s">
        <v>21</v>
      </c>
      <c r="K97" s="4" t="s">
        <v>22</v>
      </c>
      <c r="L97" s="4"/>
      <c r="M97" s="5"/>
      <c r="N97" s="4"/>
    </row>
    <row r="98" customFormat="false" ht="46.25" hidden="false" customHeight="false" outlineLevel="0" collapsed="false">
      <c r="A98" s="4" t="n">
        <v>94</v>
      </c>
      <c r="B98" s="4" t="s">
        <v>347</v>
      </c>
      <c r="C98" s="4" t="n">
        <v>11</v>
      </c>
      <c r="D98" s="4" t="n">
        <v>4</v>
      </c>
      <c r="E98" s="4" t="s">
        <v>17</v>
      </c>
      <c r="F98" s="4" t="s">
        <v>348</v>
      </c>
      <c r="G98" s="4" t="s">
        <v>349</v>
      </c>
      <c r="H98" s="4" t="n">
        <v>1</v>
      </c>
      <c r="I98" s="4" t="s">
        <v>350</v>
      </c>
      <c r="J98" s="6" t="s">
        <v>78</v>
      </c>
      <c r="K98" s="4" t="s">
        <v>351</v>
      </c>
      <c r="L98" s="4"/>
      <c r="M98" s="5"/>
      <c r="N98" s="4"/>
    </row>
    <row r="99" customFormat="false" ht="46.25" hidden="false" customHeight="false" outlineLevel="0" collapsed="false">
      <c r="A99" s="4" t="n">
        <v>95</v>
      </c>
      <c r="B99" s="4" t="s">
        <v>352</v>
      </c>
      <c r="C99" s="4" t="n">
        <v>11</v>
      </c>
      <c r="D99" s="4" t="n">
        <v>4</v>
      </c>
      <c r="E99" s="4" t="s">
        <v>30</v>
      </c>
      <c r="F99" s="4" t="s">
        <v>353</v>
      </c>
      <c r="G99" s="4" t="s">
        <v>349</v>
      </c>
      <c r="H99" s="4" t="n">
        <v>1</v>
      </c>
      <c r="I99" s="4" t="s">
        <v>354</v>
      </c>
      <c r="J99" s="4" t="s">
        <v>21</v>
      </c>
      <c r="K99" s="4" t="s">
        <v>22</v>
      </c>
      <c r="L99" s="4" t="s">
        <v>355</v>
      </c>
      <c r="M99" s="5"/>
      <c r="N99" s="4"/>
    </row>
    <row r="100" customFormat="false" ht="35.05" hidden="false" customHeight="false" outlineLevel="0" collapsed="false">
      <c r="A100" s="4" t="n">
        <v>96</v>
      </c>
      <c r="B100" s="4" t="s">
        <v>356</v>
      </c>
      <c r="C100" s="4" t="n">
        <v>11</v>
      </c>
      <c r="D100" s="4" t="n">
        <v>4</v>
      </c>
      <c r="E100" s="4" t="s">
        <v>17</v>
      </c>
      <c r="F100" s="4" t="s">
        <v>357</v>
      </c>
      <c r="G100" s="4" t="s">
        <v>358</v>
      </c>
      <c r="H100" s="4" t="n">
        <v>1</v>
      </c>
      <c r="I100" s="4" t="s">
        <v>359</v>
      </c>
      <c r="J100" s="4" t="s">
        <v>21</v>
      </c>
      <c r="K100" s="4" t="s">
        <v>22</v>
      </c>
      <c r="L100" s="4" t="s">
        <v>360</v>
      </c>
      <c r="M100" s="5"/>
      <c r="N100" s="4"/>
    </row>
    <row r="101" customFormat="false" ht="35.05" hidden="false" customHeight="false" outlineLevel="0" collapsed="false">
      <c r="A101" s="4" t="n">
        <v>97</v>
      </c>
      <c r="B101" s="4" t="s">
        <v>361</v>
      </c>
      <c r="C101" s="4" t="n">
        <v>11</v>
      </c>
      <c r="D101" s="4" t="n">
        <v>4</v>
      </c>
      <c r="E101" s="4" t="s">
        <v>30</v>
      </c>
      <c r="F101" s="4" t="s">
        <v>362</v>
      </c>
      <c r="G101" s="4" t="s">
        <v>358</v>
      </c>
      <c r="H101" s="4" t="n">
        <v>1</v>
      </c>
      <c r="I101" s="4" t="s">
        <v>363</v>
      </c>
      <c r="J101" s="4" t="s">
        <v>21</v>
      </c>
      <c r="K101" s="4" t="s">
        <v>22</v>
      </c>
      <c r="L101" s="4" t="s">
        <v>360</v>
      </c>
      <c r="M101" s="5"/>
      <c r="N101" s="4"/>
    </row>
    <row r="102" customFormat="false" ht="35.05" hidden="false" customHeight="false" outlineLevel="0" collapsed="false">
      <c r="A102" s="4" t="n">
        <v>98</v>
      </c>
      <c r="B102" s="4" t="s">
        <v>364</v>
      </c>
      <c r="C102" s="4" t="n">
        <v>11</v>
      </c>
      <c r="D102" s="4" t="n">
        <v>4</v>
      </c>
      <c r="E102" s="4" t="s">
        <v>17</v>
      </c>
      <c r="F102" s="4" t="s">
        <v>365</v>
      </c>
      <c r="G102" s="4" t="s">
        <v>366</v>
      </c>
      <c r="H102" s="4" t="n">
        <v>1</v>
      </c>
      <c r="I102" s="4" t="s">
        <v>367</v>
      </c>
      <c r="J102" s="4" t="s">
        <v>21</v>
      </c>
      <c r="K102" s="4" t="s">
        <v>22</v>
      </c>
      <c r="L102" s="4"/>
      <c r="M102" s="5"/>
      <c r="N102" s="4"/>
    </row>
    <row r="103" customFormat="false" ht="35.05" hidden="false" customHeight="false" outlineLevel="0" collapsed="false">
      <c r="A103" s="4" t="n">
        <v>99</v>
      </c>
      <c r="B103" s="4" t="s">
        <v>368</v>
      </c>
      <c r="C103" s="4" t="n">
        <v>11</v>
      </c>
      <c r="D103" s="4" t="n">
        <v>4</v>
      </c>
      <c r="E103" s="4" t="s">
        <v>30</v>
      </c>
      <c r="F103" s="4" t="s">
        <v>369</v>
      </c>
      <c r="G103" s="4" t="s">
        <v>366</v>
      </c>
      <c r="H103" s="4" t="n">
        <v>1</v>
      </c>
      <c r="I103" s="4" t="s">
        <v>370</v>
      </c>
      <c r="J103" s="4" t="s">
        <v>21</v>
      </c>
      <c r="K103" s="4" t="s">
        <v>22</v>
      </c>
      <c r="L103" s="4"/>
      <c r="M103" s="5"/>
      <c r="N103" s="4"/>
    </row>
    <row r="104" customFormat="false" ht="35.05" hidden="false" customHeight="false" outlineLevel="0" collapsed="false">
      <c r="A104" s="4" t="n">
        <v>100</v>
      </c>
      <c r="B104" s="4" t="s">
        <v>371</v>
      </c>
      <c r="C104" s="4" t="n">
        <v>11</v>
      </c>
      <c r="D104" s="4" t="n">
        <v>4</v>
      </c>
      <c r="E104" s="4" t="s">
        <v>17</v>
      </c>
      <c r="F104" s="4" t="s">
        <v>372</v>
      </c>
      <c r="G104" s="4" t="s">
        <v>373</v>
      </c>
      <c r="H104" s="4" t="n">
        <v>1</v>
      </c>
      <c r="I104" s="4" t="s">
        <v>374</v>
      </c>
      <c r="J104" s="4" t="s">
        <v>21</v>
      </c>
      <c r="K104" s="4" t="s">
        <v>22</v>
      </c>
      <c r="L104" s="4"/>
      <c r="M104" s="5"/>
      <c r="N104" s="4"/>
    </row>
    <row r="105" customFormat="false" ht="35.05" hidden="false" customHeight="false" outlineLevel="0" collapsed="false">
      <c r="A105" s="4" t="n">
        <v>101</v>
      </c>
      <c r="B105" s="4" t="s">
        <v>375</v>
      </c>
      <c r="C105" s="4" t="n">
        <v>11</v>
      </c>
      <c r="D105" s="4" t="n">
        <v>4</v>
      </c>
      <c r="E105" s="4" t="s">
        <v>30</v>
      </c>
      <c r="F105" s="4" t="s">
        <v>376</v>
      </c>
      <c r="G105" s="4" t="s">
        <v>373</v>
      </c>
      <c r="H105" s="4" t="n">
        <v>1</v>
      </c>
      <c r="I105" s="4" t="s">
        <v>377</v>
      </c>
      <c r="J105" s="4" t="s">
        <v>21</v>
      </c>
      <c r="K105" s="4" t="s">
        <v>22</v>
      </c>
      <c r="L105" s="4"/>
      <c r="M105" s="5"/>
      <c r="N105" s="4"/>
    </row>
    <row r="106" customFormat="false" ht="35.05" hidden="false" customHeight="false" outlineLevel="0" collapsed="false">
      <c r="A106" s="4" t="n">
        <v>102</v>
      </c>
      <c r="B106" s="4" t="s">
        <v>378</v>
      </c>
      <c r="C106" s="4" t="n">
        <v>11</v>
      </c>
      <c r="D106" s="4" t="n">
        <v>4</v>
      </c>
      <c r="E106" s="4" t="s">
        <v>17</v>
      </c>
      <c r="F106" s="4" t="s">
        <v>379</v>
      </c>
      <c r="G106" s="4" t="s">
        <v>380</v>
      </c>
      <c r="H106" s="4" t="n">
        <v>1</v>
      </c>
      <c r="I106" s="4" t="s">
        <v>381</v>
      </c>
      <c r="J106" s="4" t="s">
        <v>21</v>
      </c>
      <c r="K106" s="4" t="s">
        <v>22</v>
      </c>
      <c r="L106" s="4"/>
      <c r="M106" s="5"/>
      <c r="N106" s="4"/>
    </row>
    <row r="107" customFormat="false" ht="35.05" hidden="false" customHeight="false" outlineLevel="0" collapsed="false">
      <c r="A107" s="4" t="n">
        <v>103</v>
      </c>
      <c r="B107" s="4" t="s">
        <v>382</v>
      </c>
      <c r="C107" s="4" t="n">
        <v>11</v>
      </c>
      <c r="D107" s="4" t="n">
        <v>4</v>
      </c>
      <c r="E107" s="4" t="s">
        <v>30</v>
      </c>
      <c r="F107" s="4" t="s">
        <v>383</v>
      </c>
      <c r="G107" s="4" t="s">
        <v>380</v>
      </c>
      <c r="H107" s="4" t="n">
        <v>1</v>
      </c>
      <c r="I107" s="4" t="s">
        <v>384</v>
      </c>
      <c r="J107" s="4" t="s">
        <v>21</v>
      </c>
      <c r="K107" s="4" t="s">
        <v>22</v>
      </c>
      <c r="L107" s="4"/>
      <c r="M107" s="5"/>
      <c r="N107" s="4"/>
    </row>
    <row r="108" customFormat="false" ht="35.05" hidden="false" customHeight="false" outlineLevel="0" collapsed="false">
      <c r="A108" s="4" t="n">
        <v>104</v>
      </c>
      <c r="B108" s="4" t="s">
        <v>385</v>
      </c>
      <c r="C108" s="4" t="n">
        <v>11</v>
      </c>
      <c r="D108" s="4" t="n">
        <v>4</v>
      </c>
      <c r="E108" s="4" t="s">
        <v>17</v>
      </c>
      <c r="F108" s="4" t="s">
        <v>386</v>
      </c>
      <c r="G108" s="4" t="s">
        <v>387</v>
      </c>
      <c r="H108" s="4" t="n">
        <v>1</v>
      </c>
      <c r="I108" s="4" t="s">
        <v>388</v>
      </c>
      <c r="J108" s="4" t="s">
        <v>21</v>
      </c>
      <c r="K108" s="4" t="s">
        <v>22</v>
      </c>
      <c r="L108" s="4"/>
      <c r="M108" s="5"/>
      <c r="N108" s="4"/>
    </row>
    <row r="109" customFormat="false" ht="35.05" hidden="false" customHeight="false" outlineLevel="0" collapsed="false">
      <c r="A109" s="4" t="n">
        <v>105</v>
      </c>
      <c r="B109" s="4" t="s">
        <v>389</v>
      </c>
      <c r="C109" s="4" t="n">
        <v>11</v>
      </c>
      <c r="D109" s="4" t="n">
        <v>4</v>
      </c>
      <c r="E109" s="4" t="s">
        <v>30</v>
      </c>
      <c r="F109" s="4" t="s">
        <v>390</v>
      </c>
      <c r="G109" s="4" t="s">
        <v>387</v>
      </c>
      <c r="H109" s="4" t="n">
        <v>1</v>
      </c>
      <c r="I109" s="4" t="s">
        <v>391</v>
      </c>
      <c r="J109" s="4" t="s">
        <v>21</v>
      </c>
      <c r="K109" s="4" t="s">
        <v>22</v>
      </c>
      <c r="L109" s="4"/>
      <c r="M109" s="5"/>
      <c r="N109" s="4"/>
    </row>
    <row r="110" customFormat="false" ht="35.05" hidden="false" customHeight="false" outlineLevel="0" collapsed="false">
      <c r="A110" s="4" t="n">
        <v>106</v>
      </c>
      <c r="B110" s="4" t="s">
        <v>392</v>
      </c>
      <c r="C110" s="4" t="n">
        <v>11</v>
      </c>
      <c r="D110" s="4" t="n">
        <v>5</v>
      </c>
      <c r="E110" s="4" t="s">
        <v>17</v>
      </c>
      <c r="F110" s="4" t="s">
        <v>393</v>
      </c>
      <c r="G110" s="4" t="s">
        <v>394</v>
      </c>
      <c r="H110" s="4" t="n">
        <v>1</v>
      </c>
      <c r="I110" s="4" t="s">
        <v>395</v>
      </c>
      <c r="J110" s="4" t="s">
        <v>21</v>
      </c>
      <c r="K110" s="4" t="s">
        <v>22</v>
      </c>
      <c r="L110" s="4" t="s">
        <v>396</v>
      </c>
      <c r="M110" s="5"/>
      <c r="N110" s="4"/>
    </row>
    <row r="111" customFormat="false" ht="35.05" hidden="false" customHeight="false" outlineLevel="0" collapsed="false">
      <c r="A111" s="4" t="n">
        <v>107</v>
      </c>
      <c r="B111" s="4" t="s">
        <v>397</v>
      </c>
      <c r="C111" s="4" t="n">
        <v>11</v>
      </c>
      <c r="D111" s="4" t="n">
        <v>5</v>
      </c>
      <c r="E111" s="4" t="s">
        <v>30</v>
      </c>
      <c r="F111" s="4" t="s">
        <v>398</v>
      </c>
      <c r="G111" s="4" t="s">
        <v>394</v>
      </c>
      <c r="H111" s="4" t="n">
        <v>1</v>
      </c>
      <c r="I111" s="4" t="s">
        <v>399</v>
      </c>
      <c r="J111" s="4" t="s">
        <v>21</v>
      </c>
      <c r="K111" s="4" t="s">
        <v>22</v>
      </c>
      <c r="L111" s="4" t="s">
        <v>396</v>
      </c>
      <c r="M111" s="5"/>
      <c r="N111" s="4"/>
    </row>
    <row r="112" customFormat="false" ht="35.05" hidden="false" customHeight="false" outlineLevel="0" collapsed="false">
      <c r="A112" s="4" t="n">
        <v>108</v>
      </c>
      <c r="B112" s="4" t="s">
        <v>400</v>
      </c>
      <c r="C112" s="4" t="n">
        <v>11</v>
      </c>
      <c r="D112" s="4" t="n">
        <v>5</v>
      </c>
      <c r="E112" s="4" t="s">
        <v>17</v>
      </c>
      <c r="F112" s="4" t="s">
        <v>401</v>
      </c>
      <c r="G112" s="4" t="s">
        <v>402</v>
      </c>
      <c r="H112" s="4" t="n">
        <v>1</v>
      </c>
      <c r="I112" s="4" t="s">
        <v>403</v>
      </c>
      <c r="J112" s="4" t="s">
        <v>21</v>
      </c>
      <c r="K112" s="4" t="s">
        <v>22</v>
      </c>
      <c r="L112" s="4"/>
      <c r="M112" s="5"/>
      <c r="N112" s="4"/>
    </row>
    <row r="113" customFormat="false" ht="35.05" hidden="false" customHeight="false" outlineLevel="0" collapsed="false">
      <c r="A113" s="4" t="n">
        <v>109</v>
      </c>
      <c r="B113" s="4" t="s">
        <v>404</v>
      </c>
      <c r="C113" s="4" t="n">
        <v>11</v>
      </c>
      <c r="D113" s="4" t="n">
        <v>5</v>
      </c>
      <c r="E113" s="4" t="s">
        <v>30</v>
      </c>
      <c r="F113" s="4" t="s">
        <v>405</v>
      </c>
      <c r="G113" s="4" t="s">
        <v>402</v>
      </c>
      <c r="H113" s="4" t="n">
        <v>1</v>
      </c>
      <c r="I113" s="4" t="s">
        <v>406</v>
      </c>
      <c r="J113" s="4" t="s">
        <v>21</v>
      </c>
      <c r="K113" s="4" t="s">
        <v>22</v>
      </c>
      <c r="L113" s="4"/>
      <c r="M113" s="5"/>
      <c r="N113" s="4"/>
    </row>
    <row r="114" customFormat="false" ht="46.25" hidden="false" customHeight="false" outlineLevel="0" collapsed="false">
      <c r="A114" s="4" t="n">
        <v>110</v>
      </c>
      <c r="B114" s="4" t="s">
        <v>407</v>
      </c>
      <c r="C114" s="4" t="n">
        <v>11</v>
      </c>
      <c r="D114" s="4" t="n">
        <v>6</v>
      </c>
      <c r="E114" s="4" t="s">
        <v>17</v>
      </c>
      <c r="F114" s="4" t="s">
        <v>408</v>
      </c>
      <c r="G114" s="4" t="s">
        <v>409</v>
      </c>
      <c r="H114" s="4" t="n">
        <v>1</v>
      </c>
      <c r="I114" s="4" t="s">
        <v>410</v>
      </c>
      <c r="J114" s="4" t="s">
        <v>21</v>
      </c>
      <c r="K114" s="4" t="s">
        <v>22</v>
      </c>
      <c r="L114" s="4" t="s">
        <v>411</v>
      </c>
      <c r="M114" s="5"/>
      <c r="N114" s="4"/>
    </row>
    <row r="115" customFormat="false" ht="46.25" hidden="false" customHeight="false" outlineLevel="0" collapsed="false">
      <c r="A115" s="4" t="n">
        <v>111</v>
      </c>
      <c r="B115" s="4" t="s">
        <v>412</v>
      </c>
      <c r="C115" s="4" t="n">
        <v>11</v>
      </c>
      <c r="D115" s="4" t="n">
        <v>6</v>
      </c>
      <c r="E115" s="4" t="s">
        <v>30</v>
      </c>
      <c r="F115" s="4" t="s">
        <v>413</v>
      </c>
      <c r="G115" s="4" t="s">
        <v>409</v>
      </c>
      <c r="H115" s="4" t="n">
        <v>1</v>
      </c>
      <c r="I115" s="4" t="s">
        <v>414</v>
      </c>
      <c r="J115" s="4" t="s">
        <v>21</v>
      </c>
      <c r="K115" s="4" t="s">
        <v>22</v>
      </c>
      <c r="L115" s="4" t="s">
        <v>411</v>
      </c>
      <c r="M115" s="5"/>
      <c r="N115" s="4"/>
    </row>
    <row r="116" customFormat="false" ht="46.25" hidden="false" customHeight="false" outlineLevel="0" collapsed="false">
      <c r="A116" s="4" t="n">
        <v>112</v>
      </c>
      <c r="B116" s="4" t="s">
        <v>415</v>
      </c>
      <c r="C116" s="4" t="n">
        <v>11</v>
      </c>
      <c r="D116" s="4" t="n">
        <v>6</v>
      </c>
      <c r="E116" s="4" t="s">
        <v>17</v>
      </c>
      <c r="F116" s="4" t="s">
        <v>408</v>
      </c>
      <c r="G116" s="4" t="s">
        <v>416</v>
      </c>
      <c r="H116" s="4" t="n">
        <v>1</v>
      </c>
      <c r="I116" s="4" t="s">
        <v>417</v>
      </c>
      <c r="J116" s="4" t="s">
        <v>21</v>
      </c>
      <c r="K116" s="4" t="s">
        <v>22</v>
      </c>
      <c r="L116" s="4" t="s">
        <v>418</v>
      </c>
      <c r="M116" s="5"/>
      <c r="N116" s="4"/>
    </row>
    <row r="117" customFormat="false" ht="46.25" hidden="false" customHeight="false" outlineLevel="0" collapsed="false">
      <c r="A117" s="4" t="n">
        <v>113</v>
      </c>
      <c r="B117" s="4" t="s">
        <v>419</v>
      </c>
      <c r="C117" s="4" t="n">
        <v>11</v>
      </c>
      <c r="D117" s="4" t="n">
        <v>6</v>
      </c>
      <c r="E117" s="4" t="s">
        <v>30</v>
      </c>
      <c r="F117" s="4" t="s">
        <v>420</v>
      </c>
      <c r="G117" s="4" t="s">
        <v>416</v>
      </c>
      <c r="H117" s="4" t="n">
        <v>1</v>
      </c>
      <c r="I117" s="4" t="s">
        <v>421</v>
      </c>
      <c r="J117" s="4" t="s">
        <v>21</v>
      </c>
      <c r="K117" s="4" t="s">
        <v>22</v>
      </c>
      <c r="L117" s="4"/>
      <c r="M117" s="5"/>
      <c r="N117" s="4"/>
    </row>
    <row r="118" customFormat="false" ht="46.25" hidden="false" customHeight="false" outlineLevel="0" collapsed="false">
      <c r="A118" s="4" t="n">
        <v>114</v>
      </c>
      <c r="B118" s="4" t="s">
        <v>422</v>
      </c>
      <c r="C118" s="4" t="n">
        <v>11</v>
      </c>
      <c r="D118" s="4" t="n">
        <v>6</v>
      </c>
      <c r="E118" s="4" t="s">
        <v>17</v>
      </c>
      <c r="F118" s="4" t="s">
        <v>408</v>
      </c>
      <c r="G118" s="4" t="s">
        <v>423</v>
      </c>
      <c r="H118" s="4" t="n">
        <v>1</v>
      </c>
      <c r="I118" s="4" t="s">
        <v>424</v>
      </c>
      <c r="J118" s="4" t="s">
        <v>21</v>
      </c>
      <c r="K118" s="4" t="s">
        <v>22</v>
      </c>
      <c r="L118" s="4"/>
      <c r="M118" s="5"/>
      <c r="N118" s="4"/>
    </row>
    <row r="119" customFormat="false" ht="46.25" hidden="false" customHeight="false" outlineLevel="0" collapsed="false">
      <c r="A119" s="4" t="n">
        <v>115</v>
      </c>
      <c r="B119" s="4" t="s">
        <v>425</v>
      </c>
      <c r="C119" s="4" t="n">
        <v>11</v>
      </c>
      <c r="D119" s="4" t="n">
        <v>6</v>
      </c>
      <c r="E119" s="4" t="s">
        <v>30</v>
      </c>
      <c r="F119" s="4" t="s">
        <v>426</v>
      </c>
      <c r="G119" s="4" t="s">
        <v>423</v>
      </c>
      <c r="H119" s="4" t="n">
        <v>1</v>
      </c>
      <c r="I119" s="4" t="s">
        <v>427</v>
      </c>
      <c r="J119" s="4" t="s">
        <v>21</v>
      </c>
      <c r="K119" s="4" t="s">
        <v>22</v>
      </c>
      <c r="L119" s="4"/>
      <c r="M119" s="5"/>
      <c r="N119" s="4"/>
    </row>
    <row r="120" customFormat="false" ht="46.25" hidden="false" customHeight="false" outlineLevel="0" collapsed="false">
      <c r="A120" s="4" t="n">
        <v>116</v>
      </c>
      <c r="B120" s="4" t="s">
        <v>428</v>
      </c>
      <c r="C120" s="4" t="n">
        <v>11</v>
      </c>
      <c r="D120" s="4" t="n">
        <v>6</v>
      </c>
      <c r="E120" s="4" t="s">
        <v>17</v>
      </c>
      <c r="F120" s="4" t="s">
        <v>408</v>
      </c>
      <c r="G120" s="4" t="s">
        <v>429</v>
      </c>
      <c r="H120" s="4" t="n">
        <v>1</v>
      </c>
      <c r="I120" s="4" t="s">
        <v>430</v>
      </c>
      <c r="J120" s="4" t="s">
        <v>21</v>
      </c>
      <c r="K120" s="4" t="s">
        <v>22</v>
      </c>
      <c r="L120" s="4"/>
      <c r="M120" s="5"/>
      <c r="N120" s="4"/>
    </row>
    <row r="121" customFormat="false" ht="46.25" hidden="false" customHeight="false" outlineLevel="0" collapsed="false">
      <c r="A121" s="4" t="n">
        <v>117</v>
      </c>
      <c r="B121" s="4" t="s">
        <v>431</v>
      </c>
      <c r="C121" s="4" t="n">
        <v>11</v>
      </c>
      <c r="D121" s="4" t="n">
        <v>6</v>
      </c>
      <c r="E121" s="4" t="s">
        <v>30</v>
      </c>
      <c r="F121" s="4" t="s">
        <v>432</v>
      </c>
      <c r="G121" s="4" t="s">
        <v>429</v>
      </c>
      <c r="H121" s="4" t="n">
        <v>1</v>
      </c>
      <c r="I121" s="4" t="s">
        <v>433</v>
      </c>
      <c r="J121" s="4" t="s">
        <v>21</v>
      </c>
      <c r="K121" s="4" t="s">
        <v>22</v>
      </c>
      <c r="L121" s="4" t="s">
        <v>434</v>
      </c>
      <c r="M121" s="5"/>
      <c r="N121" s="4"/>
    </row>
    <row r="122" customFormat="false" ht="35.05" hidden="false" customHeight="false" outlineLevel="0" collapsed="false">
      <c r="A122" s="4" t="n">
        <v>118</v>
      </c>
      <c r="B122" s="4" t="s">
        <v>435</v>
      </c>
      <c r="C122" s="4" t="n">
        <v>11</v>
      </c>
      <c r="D122" s="4" t="n">
        <v>7</v>
      </c>
      <c r="E122" s="4" t="s">
        <v>17</v>
      </c>
      <c r="F122" s="4" t="s">
        <v>436</v>
      </c>
      <c r="G122" s="4" t="s">
        <v>437</v>
      </c>
      <c r="H122" s="4" t="n">
        <v>1</v>
      </c>
      <c r="I122" s="4" t="s">
        <v>438</v>
      </c>
      <c r="J122" s="4" t="s">
        <v>21</v>
      </c>
      <c r="K122" s="4" t="s">
        <v>22</v>
      </c>
      <c r="L122" s="4"/>
      <c r="M122" s="5"/>
      <c r="N122" s="4"/>
    </row>
    <row r="123" customFormat="false" ht="35.05" hidden="false" customHeight="false" outlineLevel="0" collapsed="false">
      <c r="A123" s="4" t="n">
        <v>119</v>
      </c>
      <c r="B123" s="4" t="s">
        <v>439</v>
      </c>
      <c r="C123" s="4" t="n">
        <v>11</v>
      </c>
      <c r="D123" s="4" t="n">
        <v>7</v>
      </c>
      <c r="E123" s="4" t="s">
        <v>30</v>
      </c>
      <c r="F123" s="4" t="s">
        <v>440</v>
      </c>
      <c r="G123" s="4" t="s">
        <v>437</v>
      </c>
      <c r="H123" s="4" t="n">
        <v>1</v>
      </c>
      <c r="I123" s="4" t="s">
        <v>441</v>
      </c>
      <c r="J123" s="4" t="s">
        <v>21</v>
      </c>
      <c r="K123" s="4" t="s">
        <v>22</v>
      </c>
      <c r="L123" s="4"/>
      <c r="M123" s="5"/>
      <c r="N123" s="4"/>
    </row>
    <row r="124" customFormat="false" ht="35.05" hidden="false" customHeight="false" outlineLevel="0" collapsed="false">
      <c r="A124" s="4" t="n">
        <v>120</v>
      </c>
      <c r="B124" s="4" t="s">
        <v>442</v>
      </c>
      <c r="C124" s="4" t="n">
        <v>11</v>
      </c>
      <c r="D124" s="4" t="n">
        <v>7</v>
      </c>
      <c r="E124" s="4" t="s">
        <v>17</v>
      </c>
      <c r="F124" s="4" t="s">
        <v>443</v>
      </c>
      <c r="G124" s="4" t="s">
        <v>444</v>
      </c>
      <c r="H124" s="4" t="n">
        <v>1</v>
      </c>
      <c r="I124" s="4" t="s">
        <v>445</v>
      </c>
      <c r="J124" s="4" t="s">
        <v>21</v>
      </c>
      <c r="K124" s="4" t="s">
        <v>22</v>
      </c>
      <c r="L124" s="4"/>
      <c r="M124" s="5"/>
      <c r="N124" s="4"/>
    </row>
    <row r="125" customFormat="false" ht="35.05" hidden="false" customHeight="false" outlineLevel="0" collapsed="false">
      <c r="A125" s="4" t="n">
        <v>121</v>
      </c>
      <c r="B125" s="4" t="s">
        <v>446</v>
      </c>
      <c r="C125" s="4" t="n">
        <v>11</v>
      </c>
      <c r="D125" s="4" t="n">
        <v>7</v>
      </c>
      <c r="E125" s="4" t="s">
        <v>30</v>
      </c>
      <c r="F125" s="4" t="s">
        <v>447</v>
      </c>
      <c r="G125" s="4" t="s">
        <v>444</v>
      </c>
      <c r="H125" s="4" t="n">
        <v>1</v>
      </c>
      <c r="I125" s="4" t="s">
        <v>448</v>
      </c>
      <c r="J125" s="4" t="s">
        <v>21</v>
      </c>
      <c r="K125" s="4" t="s">
        <v>22</v>
      </c>
      <c r="L125" s="4"/>
      <c r="M125" s="5"/>
      <c r="N125" s="4"/>
    </row>
    <row r="126" customFormat="false" ht="35.05" hidden="false" customHeight="false" outlineLevel="0" collapsed="false">
      <c r="A126" s="4" t="n">
        <v>122</v>
      </c>
      <c r="B126" s="4" t="s">
        <v>449</v>
      </c>
      <c r="C126" s="4" t="n">
        <v>11</v>
      </c>
      <c r="D126" s="4" t="n">
        <v>7</v>
      </c>
      <c r="E126" s="4" t="s">
        <v>17</v>
      </c>
      <c r="F126" s="4" t="s">
        <v>450</v>
      </c>
      <c r="G126" s="4" t="s">
        <v>451</v>
      </c>
      <c r="H126" s="4" t="n">
        <v>1</v>
      </c>
      <c r="I126" s="4" t="s">
        <v>452</v>
      </c>
      <c r="J126" s="4" t="s">
        <v>21</v>
      </c>
      <c r="K126" s="4" t="s">
        <v>22</v>
      </c>
      <c r="L126" s="4"/>
      <c r="M126" s="5"/>
      <c r="N126" s="4"/>
    </row>
    <row r="127" customFormat="false" ht="35.05" hidden="false" customHeight="false" outlineLevel="0" collapsed="false">
      <c r="A127" s="4" t="n">
        <v>123</v>
      </c>
      <c r="B127" s="4" t="s">
        <v>453</v>
      </c>
      <c r="C127" s="4" t="n">
        <v>11</v>
      </c>
      <c r="D127" s="4" t="n">
        <v>7</v>
      </c>
      <c r="E127" s="4" t="s">
        <v>30</v>
      </c>
      <c r="F127" s="4" t="s">
        <v>454</v>
      </c>
      <c r="G127" s="4" t="s">
        <v>451</v>
      </c>
      <c r="H127" s="4" t="n">
        <v>1</v>
      </c>
      <c r="I127" s="4" t="s">
        <v>455</v>
      </c>
      <c r="J127" s="4" t="s">
        <v>21</v>
      </c>
      <c r="K127" s="4" t="s">
        <v>22</v>
      </c>
      <c r="L127" s="4" t="s">
        <v>456</v>
      </c>
      <c r="M127" s="5"/>
      <c r="N127" s="4"/>
    </row>
    <row r="128" customFormat="false" ht="35.05" hidden="false" customHeight="false" outlineLevel="0" collapsed="false">
      <c r="A128" s="4" t="n">
        <v>124</v>
      </c>
      <c r="B128" s="4" t="s">
        <v>457</v>
      </c>
      <c r="C128" s="4" t="n">
        <v>11</v>
      </c>
      <c r="D128" s="4" t="n">
        <v>7</v>
      </c>
      <c r="E128" s="4" t="s">
        <v>17</v>
      </c>
      <c r="F128" s="4" t="s">
        <v>458</v>
      </c>
      <c r="G128" s="4" t="s">
        <v>459</v>
      </c>
      <c r="H128" s="4" t="n">
        <v>1</v>
      </c>
      <c r="I128" s="4" t="s">
        <v>460</v>
      </c>
      <c r="J128" s="4" t="s">
        <v>21</v>
      </c>
      <c r="K128" s="4" t="s">
        <v>22</v>
      </c>
      <c r="L128" s="4"/>
      <c r="M128" s="5"/>
      <c r="N128" s="4"/>
    </row>
    <row r="129" customFormat="false" ht="35.05" hidden="false" customHeight="false" outlineLevel="0" collapsed="false">
      <c r="A129" s="4" t="n">
        <v>125</v>
      </c>
      <c r="B129" s="4" t="s">
        <v>461</v>
      </c>
      <c r="C129" s="4" t="n">
        <v>11</v>
      </c>
      <c r="D129" s="4" t="n">
        <v>7</v>
      </c>
      <c r="E129" s="4" t="s">
        <v>30</v>
      </c>
      <c r="F129" s="4" t="s">
        <v>458</v>
      </c>
      <c r="G129" s="4" t="s">
        <v>459</v>
      </c>
      <c r="H129" s="4" t="n">
        <v>1</v>
      </c>
      <c r="I129" s="4" t="s">
        <v>462</v>
      </c>
      <c r="J129" s="4" t="s">
        <v>21</v>
      </c>
      <c r="K129" s="4" t="s">
        <v>22</v>
      </c>
      <c r="L129" s="4"/>
      <c r="M129" s="5"/>
      <c r="N129" s="4"/>
    </row>
    <row r="130" customFormat="false" ht="35.05" hidden="false" customHeight="false" outlineLevel="0" collapsed="false">
      <c r="A130" s="4" t="n">
        <v>126</v>
      </c>
      <c r="B130" s="4" t="s">
        <v>463</v>
      </c>
      <c r="C130" s="4" t="n">
        <v>11</v>
      </c>
      <c r="D130" s="4" t="n">
        <v>7</v>
      </c>
      <c r="E130" s="4" t="s">
        <v>17</v>
      </c>
      <c r="F130" s="4" t="s">
        <v>464</v>
      </c>
      <c r="G130" s="4" t="s">
        <v>465</v>
      </c>
      <c r="H130" s="4" t="n">
        <v>1</v>
      </c>
      <c r="I130" s="4" t="s">
        <v>466</v>
      </c>
      <c r="J130" s="4" t="s">
        <v>21</v>
      </c>
      <c r="K130" s="4" t="s">
        <v>22</v>
      </c>
      <c r="L130" s="4" t="s">
        <v>467</v>
      </c>
      <c r="M130" s="5"/>
      <c r="N130" s="4"/>
    </row>
    <row r="131" customFormat="false" ht="35.05" hidden="false" customHeight="false" outlineLevel="0" collapsed="false">
      <c r="A131" s="4" t="n">
        <v>127</v>
      </c>
      <c r="B131" s="4" t="s">
        <v>468</v>
      </c>
      <c r="C131" s="4" t="n">
        <v>11</v>
      </c>
      <c r="D131" s="4" t="n">
        <v>7</v>
      </c>
      <c r="E131" s="4" t="s">
        <v>30</v>
      </c>
      <c r="F131" s="4" t="s">
        <v>469</v>
      </c>
      <c r="G131" s="4" t="s">
        <v>465</v>
      </c>
      <c r="H131" s="4" t="n">
        <v>1</v>
      </c>
      <c r="I131" s="4" t="s">
        <v>470</v>
      </c>
      <c r="J131" s="4" t="s">
        <v>21</v>
      </c>
      <c r="K131" s="4" t="s">
        <v>22</v>
      </c>
      <c r="L131" s="4" t="s">
        <v>471</v>
      </c>
      <c r="M131" s="5"/>
      <c r="N131" s="4"/>
    </row>
    <row r="132" customFormat="false" ht="35.05" hidden="false" customHeight="false" outlineLevel="0" collapsed="false">
      <c r="A132" s="4" t="n">
        <v>128</v>
      </c>
      <c r="B132" s="4" t="s">
        <v>472</v>
      </c>
      <c r="C132" s="4" t="n">
        <v>11</v>
      </c>
      <c r="D132" s="4" t="n">
        <v>7</v>
      </c>
      <c r="E132" s="4" t="s">
        <v>17</v>
      </c>
      <c r="F132" s="4" t="s">
        <v>473</v>
      </c>
      <c r="G132" s="4" t="s">
        <v>474</v>
      </c>
      <c r="H132" s="4" t="n">
        <v>1</v>
      </c>
      <c r="I132" s="4" t="s">
        <v>475</v>
      </c>
      <c r="J132" s="6" t="s">
        <v>78</v>
      </c>
      <c r="K132" s="4" t="s">
        <v>476</v>
      </c>
      <c r="L132" s="4"/>
      <c r="M132" s="5"/>
      <c r="N132" s="4"/>
    </row>
    <row r="133" customFormat="false" ht="35.05" hidden="false" customHeight="false" outlineLevel="0" collapsed="false">
      <c r="A133" s="4" t="n">
        <v>129</v>
      </c>
      <c r="B133" s="4" t="s">
        <v>477</v>
      </c>
      <c r="C133" s="4" t="n">
        <v>11</v>
      </c>
      <c r="D133" s="4" t="n">
        <v>7</v>
      </c>
      <c r="E133" s="4" t="s">
        <v>30</v>
      </c>
      <c r="F133" s="4" t="s">
        <v>478</v>
      </c>
      <c r="G133" s="4" t="s">
        <v>474</v>
      </c>
      <c r="H133" s="4" t="n">
        <v>1</v>
      </c>
      <c r="I133" s="4" t="s">
        <v>479</v>
      </c>
      <c r="J133" s="4" t="s">
        <v>21</v>
      </c>
      <c r="K133" s="4" t="s">
        <v>22</v>
      </c>
      <c r="L133" s="4"/>
      <c r="M133" s="5"/>
      <c r="N133" s="4"/>
    </row>
    <row r="134" customFormat="false" ht="46.25" hidden="false" customHeight="false" outlineLevel="0" collapsed="false">
      <c r="A134" s="4" t="n">
        <v>130</v>
      </c>
      <c r="B134" s="4" t="s">
        <v>480</v>
      </c>
      <c r="C134" s="4" t="n">
        <v>11</v>
      </c>
      <c r="D134" s="4" t="n">
        <v>8</v>
      </c>
      <c r="E134" s="4" t="s">
        <v>17</v>
      </c>
      <c r="F134" s="4" t="s">
        <v>481</v>
      </c>
      <c r="G134" s="4" t="s">
        <v>482</v>
      </c>
      <c r="H134" s="4" t="n">
        <v>1</v>
      </c>
      <c r="I134" s="4" t="s">
        <v>483</v>
      </c>
      <c r="J134" s="4" t="s">
        <v>21</v>
      </c>
      <c r="K134" s="4" t="s">
        <v>22</v>
      </c>
      <c r="L134" s="4"/>
      <c r="M134" s="5"/>
      <c r="N134" s="4"/>
    </row>
    <row r="135" customFormat="false" ht="46.25" hidden="false" customHeight="false" outlineLevel="0" collapsed="false">
      <c r="A135" s="4" t="n">
        <v>131</v>
      </c>
      <c r="B135" s="4" t="s">
        <v>484</v>
      </c>
      <c r="C135" s="4" t="n">
        <v>11</v>
      </c>
      <c r="D135" s="4" t="n">
        <v>8</v>
      </c>
      <c r="E135" s="4" t="s">
        <v>30</v>
      </c>
      <c r="F135" s="4" t="s">
        <v>481</v>
      </c>
      <c r="G135" s="4" t="s">
        <v>482</v>
      </c>
      <c r="H135" s="4" t="n">
        <v>1</v>
      </c>
      <c r="I135" s="4" t="s">
        <v>483</v>
      </c>
      <c r="J135" s="4" t="s">
        <v>21</v>
      </c>
      <c r="K135" s="4" t="s">
        <v>22</v>
      </c>
      <c r="L135" s="4"/>
      <c r="M135" s="5"/>
      <c r="N135" s="4"/>
    </row>
    <row r="136" customFormat="false" ht="46.25" hidden="false" customHeight="false" outlineLevel="0" collapsed="false">
      <c r="A136" s="4" t="n">
        <v>132</v>
      </c>
      <c r="B136" s="4" t="s">
        <v>485</v>
      </c>
      <c r="C136" s="4" t="n">
        <v>11</v>
      </c>
      <c r="D136" s="4" t="n">
        <v>8</v>
      </c>
      <c r="E136" s="4" t="s">
        <v>17</v>
      </c>
      <c r="F136" s="4" t="s">
        <v>486</v>
      </c>
      <c r="G136" s="4" t="s">
        <v>487</v>
      </c>
      <c r="H136" s="4" t="n">
        <v>1</v>
      </c>
      <c r="I136" s="4" t="s">
        <v>488</v>
      </c>
      <c r="J136" s="4" t="s">
        <v>21</v>
      </c>
      <c r="K136" s="4" t="s">
        <v>22</v>
      </c>
      <c r="L136" s="4" t="s">
        <v>489</v>
      </c>
      <c r="M136" s="5"/>
      <c r="N136" s="4"/>
    </row>
    <row r="137" customFormat="false" ht="35.05" hidden="false" customHeight="false" outlineLevel="0" collapsed="false">
      <c r="A137" s="4" t="n">
        <v>133</v>
      </c>
      <c r="B137" s="4" t="s">
        <v>490</v>
      </c>
      <c r="C137" s="4" t="n">
        <v>11</v>
      </c>
      <c r="D137" s="4" t="n">
        <v>8</v>
      </c>
      <c r="E137" s="4" t="s">
        <v>30</v>
      </c>
      <c r="F137" s="4" t="s">
        <v>491</v>
      </c>
      <c r="G137" s="4" t="s">
        <v>487</v>
      </c>
      <c r="H137" s="4" t="n">
        <v>1</v>
      </c>
      <c r="I137" s="4" t="s">
        <v>492</v>
      </c>
      <c r="J137" s="4" t="s">
        <v>21</v>
      </c>
      <c r="K137" s="4" t="s">
        <v>22</v>
      </c>
      <c r="L137" s="4"/>
      <c r="M137" s="5"/>
      <c r="N137" s="4"/>
    </row>
    <row r="138" customFormat="false" ht="35.05" hidden="false" customHeight="false" outlineLevel="0" collapsed="false">
      <c r="A138" s="4" t="n">
        <v>134</v>
      </c>
      <c r="B138" s="4" t="s">
        <v>493</v>
      </c>
      <c r="C138" s="4" t="n">
        <v>11</v>
      </c>
      <c r="D138" s="4" t="n">
        <v>8</v>
      </c>
      <c r="E138" s="4" t="s">
        <v>17</v>
      </c>
      <c r="F138" s="4" t="s">
        <v>494</v>
      </c>
      <c r="G138" s="4" t="s">
        <v>495</v>
      </c>
      <c r="H138" s="4" t="n">
        <v>1</v>
      </c>
      <c r="I138" s="4" t="s">
        <v>496</v>
      </c>
      <c r="J138" s="4" t="s">
        <v>21</v>
      </c>
      <c r="K138" s="4" t="s">
        <v>22</v>
      </c>
      <c r="L138" s="4"/>
      <c r="M138" s="5"/>
      <c r="N138" s="4"/>
    </row>
    <row r="139" customFormat="false" ht="35.05" hidden="false" customHeight="false" outlineLevel="0" collapsed="false">
      <c r="A139" s="4" t="n">
        <v>135</v>
      </c>
      <c r="B139" s="4" t="s">
        <v>497</v>
      </c>
      <c r="C139" s="4" t="n">
        <v>11</v>
      </c>
      <c r="D139" s="4" t="n">
        <v>8</v>
      </c>
      <c r="E139" s="4" t="s">
        <v>30</v>
      </c>
      <c r="F139" s="4" t="s">
        <v>498</v>
      </c>
      <c r="G139" s="4" t="s">
        <v>495</v>
      </c>
      <c r="H139" s="4" t="n">
        <v>1</v>
      </c>
      <c r="I139" s="4" t="s">
        <v>499</v>
      </c>
      <c r="J139" s="4" t="s">
        <v>21</v>
      </c>
      <c r="K139" s="4" t="s">
        <v>22</v>
      </c>
      <c r="L139" s="4"/>
      <c r="M139" s="5"/>
      <c r="N139" s="4"/>
    </row>
    <row r="140" customFormat="false" ht="35.05" hidden="false" customHeight="false" outlineLevel="0" collapsed="false">
      <c r="A140" s="4" t="n">
        <v>136</v>
      </c>
      <c r="B140" s="4" t="s">
        <v>500</v>
      </c>
      <c r="C140" s="4" t="n">
        <v>11</v>
      </c>
      <c r="D140" s="4" t="n">
        <v>9</v>
      </c>
      <c r="E140" s="4" t="s">
        <v>17</v>
      </c>
      <c r="F140" s="4" t="s">
        <v>408</v>
      </c>
      <c r="G140" s="4" t="s">
        <v>501</v>
      </c>
      <c r="H140" s="4" t="n">
        <v>1</v>
      </c>
      <c r="I140" s="4" t="s">
        <v>502</v>
      </c>
      <c r="J140" s="4" t="s">
        <v>21</v>
      </c>
      <c r="K140" s="4" t="s">
        <v>22</v>
      </c>
      <c r="L140" s="4" t="s">
        <v>503</v>
      </c>
      <c r="M140" s="5"/>
      <c r="N140" s="4"/>
    </row>
    <row r="141" customFormat="false" ht="35.05" hidden="false" customHeight="false" outlineLevel="0" collapsed="false">
      <c r="A141" s="4" t="n">
        <v>137</v>
      </c>
      <c r="B141" s="4" t="s">
        <v>504</v>
      </c>
      <c r="C141" s="4" t="n">
        <v>11</v>
      </c>
      <c r="D141" s="4" t="n">
        <v>9</v>
      </c>
      <c r="E141" s="4" t="s">
        <v>30</v>
      </c>
      <c r="F141" s="4" t="s">
        <v>505</v>
      </c>
      <c r="G141" s="4" t="s">
        <v>501</v>
      </c>
      <c r="H141" s="4" t="n">
        <v>1</v>
      </c>
      <c r="I141" s="4" t="s">
        <v>506</v>
      </c>
      <c r="J141" s="4" t="s">
        <v>21</v>
      </c>
      <c r="K141" s="4" t="s">
        <v>22</v>
      </c>
      <c r="L141" s="4" t="s">
        <v>503</v>
      </c>
      <c r="M141" s="5"/>
      <c r="N141" s="4"/>
    </row>
    <row r="142" customFormat="false" ht="46.25" hidden="false" customHeight="false" outlineLevel="0" collapsed="false">
      <c r="A142" s="4" t="n">
        <v>138</v>
      </c>
      <c r="B142" s="4" t="s">
        <v>507</v>
      </c>
      <c r="C142" s="4" t="n">
        <v>11</v>
      </c>
      <c r="D142" s="4" t="n">
        <v>9</v>
      </c>
      <c r="E142" s="4" t="s">
        <v>17</v>
      </c>
      <c r="F142" s="4" t="s">
        <v>408</v>
      </c>
      <c r="G142" s="4" t="s">
        <v>508</v>
      </c>
      <c r="H142" s="4" t="n">
        <v>1</v>
      </c>
      <c r="I142" s="4" t="s">
        <v>509</v>
      </c>
      <c r="J142" s="4" t="s">
        <v>21</v>
      </c>
      <c r="K142" s="4" t="s">
        <v>22</v>
      </c>
      <c r="L142" s="4" t="s">
        <v>510</v>
      </c>
      <c r="M142" s="5"/>
      <c r="N142" s="4"/>
    </row>
    <row r="143" customFormat="false" ht="46.25" hidden="false" customHeight="false" outlineLevel="0" collapsed="false">
      <c r="A143" s="4" t="n">
        <v>139</v>
      </c>
      <c r="B143" s="4" t="s">
        <v>511</v>
      </c>
      <c r="C143" s="4" t="n">
        <v>11</v>
      </c>
      <c r="D143" s="4" t="n">
        <v>9</v>
      </c>
      <c r="E143" s="4" t="s">
        <v>30</v>
      </c>
      <c r="F143" s="4" t="s">
        <v>512</v>
      </c>
      <c r="G143" s="4" t="s">
        <v>508</v>
      </c>
      <c r="H143" s="4" t="n">
        <v>1</v>
      </c>
      <c r="I143" s="4" t="s">
        <v>513</v>
      </c>
      <c r="J143" s="4" t="s">
        <v>21</v>
      </c>
      <c r="K143" s="4" t="s">
        <v>22</v>
      </c>
      <c r="L143" s="4" t="s">
        <v>510</v>
      </c>
      <c r="M143" s="5"/>
      <c r="N143" s="4"/>
    </row>
    <row r="144" customFormat="false" ht="35.05" hidden="false" customHeight="false" outlineLevel="0" collapsed="false">
      <c r="A144" s="4" t="n">
        <v>140</v>
      </c>
      <c r="B144" s="4" t="s">
        <v>514</v>
      </c>
      <c r="C144" s="4" t="n">
        <v>12</v>
      </c>
      <c r="D144" s="4" t="n">
        <v>1</v>
      </c>
      <c r="E144" s="4" t="s">
        <v>17</v>
      </c>
      <c r="F144" s="4" t="s">
        <v>515</v>
      </c>
      <c r="G144" s="4" t="s">
        <v>516</v>
      </c>
      <c r="H144" s="4" t="n">
        <v>0</v>
      </c>
      <c r="I144" s="4"/>
      <c r="J144" s="4" t="s">
        <v>21</v>
      </c>
      <c r="K144" s="4" t="s">
        <v>22</v>
      </c>
      <c r="L144" s="4" t="s">
        <v>517</v>
      </c>
      <c r="M144" s="5"/>
      <c r="N144" s="4"/>
    </row>
    <row r="145" customFormat="false" ht="46.25" hidden="false" customHeight="false" outlineLevel="0" collapsed="false">
      <c r="A145" s="4" t="n">
        <v>141</v>
      </c>
      <c r="B145" s="4" t="s">
        <v>518</v>
      </c>
      <c r="C145" s="4" t="n">
        <v>12</v>
      </c>
      <c r="D145" s="4" t="n">
        <v>2</v>
      </c>
      <c r="E145" s="4" t="s">
        <v>17</v>
      </c>
      <c r="F145" s="4" t="s">
        <v>519</v>
      </c>
      <c r="G145" s="4" t="s">
        <v>520</v>
      </c>
      <c r="H145" s="4" t="n">
        <v>1</v>
      </c>
      <c r="I145" s="4" t="s">
        <v>521</v>
      </c>
      <c r="J145" s="4" t="s">
        <v>21</v>
      </c>
      <c r="K145" s="4" t="s">
        <v>22</v>
      </c>
      <c r="L145" s="4"/>
      <c r="M145" s="5"/>
      <c r="N145" s="4"/>
    </row>
    <row r="146" customFormat="false" ht="46.25" hidden="false" customHeight="false" outlineLevel="0" collapsed="false">
      <c r="A146" s="4" t="n">
        <v>142</v>
      </c>
      <c r="B146" s="4" t="s">
        <v>522</v>
      </c>
      <c r="C146" s="4" t="n">
        <v>12</v>
      </c>
      <c r="D146" s="4" t="n">
        <v>2</v>
      </c>
      <c r="E146" s="4" t="s">
        <v>30</v>
      </c>
      <c r="F146" s="4" t="s">
        <v>523</v>
      </c>
      <c r="G146" s="4" t="s">
        <v>520</v>
      </c>
      <c r="H146" s="4" t="n">
        <v>1</v>
      </c>
      <c r="I146" s="4" t="s">
        <v>524</v>
      </c>
      <c r="J146" s="4" t="s">
        <v>21</v>
      </c>
      <c r="K146" s="4" t="s">
        <v>22</v>
      </c>
      <c r="L146" s="4"/>
      <c r="M146" s="5"/>
      <c r="N146" s="4"/>
    </row>
    <row r="147" customFormat="false" ht="35.05" hidden="false" customHeight="false" outlineLevel="0" collapsed="false">
      <c r="A147" s="4" t="n">
        <v>143</v>
      </c>
      <c r="B147" s="4" t="s">
        <v>525</v>
      </c>
      <c r="C147" s="4" t="n">
        <v>12</v>
      </c>
      <c r="D147" s="4" t="n">
        <v>3</v>
      </c>
      <c r="E147" s="4" t="s">
        <v>17</v>
      </c>
      <c r="F147" s="4" t="s">
        <v>526</v>
      </c>
      <c r="G147" s="4" t="s">
        <v>527</v>
      </c>
      <c r="H147" s="4" t="n">
        <v>0</v>
      </c>
      <c r="I147" s="4"/>
      <c r="J147" s="4" t="s">
        <v>21</v>
      </c>
      <c r="K147" s="4" t="s">
        <v>22</v>
      </c>
      <c r="L147" s="4" t="s">
        <v>517</v>
      </c>
      <c r="M147" s="5"/>
      <c r="N147" s="4"/>
    </row>
    <row r="148" customFormat="false" ht="23.85" hidden="false" customHeight="false" outlineLevel="0" collapsed="false">
      <c r="A148" s="4" t="n">
        <v>144</v>
      </c>
      <c r="B148" s="4" t="s">
        <v>528</v>
      </c>
      <c r="C148" s="4" t="n">
        <v>12</v>
      </c>
      <c r="D148" s="4" t="n">
        <v>4</v>
      </c>
      <c r="E148" s="4" t="s">
        <v>17</v>
      </c>
      <c r="F148" s="4" t="s">
        <v>529</v>
      </c>
      <c r="G148" s="4" t="s">
        <v>530</v>
      </c>
      <c r="H148" s="4" t="n">
        <v>0</v>
      </c>
      <c r="I148" s="4"/>
      <c r="J148" s="4" t="s">
        <v>21</v>
      </c>
      <c r="K148" s="4" t="s">
        <v>22</v>
      </c>
      <c r="L148" s="4" t="s">
        <v>517</v>
      </c>
      <c r="M148" s="5"/>
      <c r="N148" s="4"/>
    </row>
    <row r="149" customFormat="false" ht="35.05" hidden="false" customHeight="false" outlineLevel="0" collapsed="false">
      <c r="A149" s="4" t="n">
        <v>145</v>
      </c>
      <c r="B149" s="4" t="s">
        <v>531</v>
      </c>
      <c r="C149" s="4" t="n">
        <v>12</v>
      </c>
      <c r="D149" s="4" t="n">
        <v>5</v>
      </c>
      <c r="E149" s="4" t="s">
        <v>17</v>
      </c>
      <c r="F149" s="4" t="s">
        <v>532</v>
      </c>
      <c r="G149" s="4" t="s">
        <v>533</v>
      </c>
      <c r="H149" s="4" t="n">
        <v>0</v>
      </c>
      <c r="I149" s="4"/>
      <c r="J149" s="4" t="s">
        <v>21</v>
      </c>
      <c r="K149" s="4" t="s">
        <v>22</v>
      </c>
      <c r="L149" s="4" t="s">
        <v>517</v>
      </c>
      <c r="M149" s="5"/>
      <c r="N149" s="4"/>
    </row>
    <row r="150" customFormat="false" ht="46.25" hidden="false" customHeight="false" outlineLevel="0" collapsed="false">
      <c r="A150" s="4" t="n">
        <v>146</v>
      </c>
      <c r="B150" s="4" t="s">
        <v>534</v>
      </c>
      <c r="C150" s="4" t="n">
        <v>12</v>
      </c>
      <c r="D150" s="4" t="n">
        <v>5</v>
      </c>
      <c r="E150" s="4" t="s">
        <v>17</v>
      </c>
      <c r="F150" s="4" t="s">
        <v>535</v>
      </c>
      <c r="G150" s="4" t="s">
        <v>536</v>
      </c>
      <c r="H150" s="4" t="n">
        <v>0</v>
      </c>
      <c r="I150" s="4"/>
      <c r="J150" s="4" t="s">
        <v>21</v>
      </c>
      <c r="K150" s="4" t="s">
        <v>22</v>
      </c>
      <c r="L150" s="4" t="s">
        <v>517</v>
      </c>
      <c r="M150" s="5"/>
      <c r="N150" s="4"/>
    </row>
    <row r="151" customFormat="false" ht="35.05" hidden="false" customHeight="false" outlineLevel="0" collapsed="false">
      <c r="A151" s="4" t="n">
        <v>147</v>
      </c>
      <c r="B151" s="4" t="s">
        <v>537</v>
      </c>
      <c r="C151" s="4" t="n">
        <v>12</v>
      </c>
      <c r="D151" s="4" t="n">
        <v>5</v>
      </c>
      <c r="E151" s="4" t="s">
        <v>17</v>
      </c>
      <c r="F151" s="4" t="s">
        <v>538</v>
      </c>
      <c r="G151" s="4" t="s">
        <v>539</v>
      </c>
      <c r="H151" s="4" t="n">
        <v>0</v>
      </c>
      <c r="I151" s="4"/>
      <c r="J151" s="4" t="s">
        <v>21</v>
      </c>
      <c r="K151" s="4" t="s">
        <v>22</v>
      </c>
      <c r="L151" s="4" t="s">
        <v>517</v>
      </c>
      <c r="M151" s="5"/>
      <c r="N151" s="4"/>
    </row>
    <row r="152" customFormat="false" ht="57.45" hidden="false" customHeight="false" outlineLevel="0" collapsed="false">
      <c r="A152" s="4" t="n">
        <v>148</v>
      </c>
      <c r="B152" s="4" t="s">
        <v>540</v>
      </c>
      <c r="C152" s="4" t="n">
        <v>12</v>
      </c>
      <c r="D152" s="4" t="n">
        <v>6</v>
      </c>
      <c r="E152" s="4" t="s">
        <v>17</v>
      </c>
      <c r="F152" s="4" t="s">
        <v>541</v>
      </c>
      <c r="G152" s="4" t="s">
        <v>542</v>
      </c>
      <c r="H152" s="4" t="n">
        <v>1</v>
      </c>
      <c r="I152" s="4" t="s">
        <v>543</v>
      </c>
      <c r="J152" s="4" t="s">
        <v>21</v>
      </c>
      <c r="K152" s="4" t="s">
        <v>22</v>
      </c>
      <c r="L152" s="4"/>
      <c r="M152" s="5"/>
      <c r="N152" s="4"/>
    </row>
    <row r="153" customFormat="false" ht="57.45" hidden="false" customHeight="false" outlineLevel="0" collapsed="false">
      <c r="A153" s="4" t="n">
        <v>149</v>
      </c>
      <c r="B153" s="4" t="s">
        <v>544</v>
      </c>
      <c r="C153" s="4" t="n">
        <v>12</v>
      </c>
      <c r="D153" s="4" t="n">
        <v>6</v>
      </c>
      <c r="E153" s="4" t="s">
        <v>30</v>
      </c>
      <c r="F153" s="4" t="s">
        <v>545</v>
      </c>
      <c r="G153" s="4" t="s">
        <v>542</v>
      </c>
      <c r="H153" s="4" t="n">
        <v>1</v>
      </c>
      <c r="I153" s="4" t="s">
        <v>546</v>
      </c>
      <c r="J153" s="4" t="s">
        <v>21</v>
      </c>
      <c r="K153" s="4" t="s">
        <v>22</v>
      </c>
      <c r="L153" s="4"/>
      <c r="M153" s="5"/>
      <c r="N153" s="4"/>
    </row>
    <row r="154" customFormat="false" ht="68.65" hidden="false" customHeight="false" outlineLevel="0" collapsed="false">
      <c r="A154" s="4" t="n">
        <v>150</v>
      </c>
      <c r="B154" s="4" t="s">
        <v>547</v>
      </c>
      <c r="C154" s="4" t="n">
        <v>12</v>
      </c>
      <c r="D154" s="4" t="n">
        <v>6</v>
      </c>
      <c r="E154" s="4" t="s">
        <v>17</v>
      </c>
      <c r="F154" s="4" t="s">
        <v>548</v>
      </c>
      <c r="G154" s="4" t="s">
        <v>549</v>
      </c>
      <c r="H154" s="4" t="n">
        <v>1</v>
      </c>
      <c r="I154" s="4" t="s">
        <v>550</v>
      </c>
      <c r="J154" s="4" t="s">
        <v>21</v>
      </c>
      <c r="K154" s="4" t="s">
        <v>22</v>
      </c>
      <c r="L154" s="4"/>
      <c r="M154" s="5"/>
      <c r="N154" s="4"/>
    </row>
    <row r="155" customFormat="false" ht="57.45" hidden="false" customHeight="false" outlineLevel="0" collapsed="false">
      <c r="A155" s="4" t="n">
        <v>151</v>
      </c>
      <c r="B155" s="4" t="s">
        <v>551</v>
      </c>
      <c r="C155" s="4" t="n">
        <v>12</v>
      </c>
      <c r="D155" s="4" t="n">
        <v>6</v>
      </c>
      <c r="E155" s="4" t="s">
        <v>30</v>
      </c>
      <c r="F155" s="4" t="s">
        <v>552</v>
      </c>
      <c r="G155" s="4" t="s">
        <v>549</v>
      </c>
      <c r="H155" s="4" t="n">
        <v>1</v>
      </c>
      <c r="I155" s="4" t="s">
        <v>553</v>
      </c>
      <c r="J155" s="4" t="s">
        <v>21</v>
      </c>
      <c r="K155" s="4" t="s">
        <v>22</v>
      </c>
      <c r="L155" s="4"/>
      <c r="M155" s="5"/>
      <c r="N155" s="4"/>
    </row>
  </sheetData>
  <autoFilter ref="A4:N155"/>
  <dataValidations count="1">
    <dataValidation allowBlank="true" errorStyle="stop" operator="between" showDropDown="false" showErrorMessage="false" showInputMessage="false" sqref="M5:M155" type="list">
      <formula1>"VD,VDC"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s>
  <sheetData>
    <row r="1" customFormat="false" ht="15" hidden="false" customHeight="false" outlineLevel="0" collapsed="false">
      <c r="A1" s="9" t="s">
        <v>554</v>
      </c>
      <c r="B1" s="9" t="s">
        <v>555</v>
      </c>
    </row>
    <row r="2" customFormat="false" ht="15" hidden="false" customHeight="false" outlineLevel="0" collapsed="false">
      <c r="A2" s="10" t="s">
        <v>556</v>
      </c>
      <c r="B2" s="10" t="n">
        <f aca="false">COUNTA('Duyet VD-VDC'!B5:B155)</f>
        <v>151</v>
      </c>
    </row>
    <row r="3" customFormat="false" ht="15" hidden="false" customHeight="false" outlineLevel="0" collapsed="false">
      <c r="A3" s="10" t="s">
        <v>557</v>
      </c>
      <c r="B3" s="10" t="n">
        <f aca="false">COUNTIF('Duyet VD-VDC'!J5:J155,"VDC")</f>
        <v>13</v>
      </c>
    </row>
    <row r="4" customFormat="false" ht="15" hidden="false" customHeight="false" outlineLevel="0" collapsed="false">
      <c r="A4" s="10" t="s">
        <v>558</v>
      </c>
      <c r="B4" s="10" t="n">
        <f aca="false">COUNTA('Duyet VD-VDC'!M5:M155)</f>
        <v>0</v>
      </c>
    </row>
    <row r="5" customFormat="false" ht="15" hidden="false" customHeight="false" outlineLevel="0" collapsed="false">
      <c r="A5" s="10" t="s">
        <v>559</v>
      </c>
      <c r="B5" s="10" t="n">
        <f aca="false">COUNTIF('Duyet VD-VDC'!M5:M155,"VDC")</f>
        <v>0</v>
      </c>
    </row>
    <row r="6" customFormat="false" ht="15" hidden="false" customHeight="false" outlineLevel="0" collapsed="false">
      <c r="A6" s="10" t="s">
        <v>560</v>
      </c>
      <c r="B6" s="10" t="n">
        <f aca="false">SUMPRODUCT(--(IF('Duyet VD-VDC'!M5:M155="",'Duyet VD-VDC'!J5:J155,'Duyet VD-VDC'!M5:M155)="VDC"))</f>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2026-09-30T22:44:31Z</dcterms:created>
  <dc:creator>openpyxl</dc:creator>
  <dc:description/>
  <dc:language>en-US</dc:language>
  <cp:lastModifiedBy/>
  <dcterms:modified xsi:type="dcterms:W3CDTF">2026-09-30T22:44:31Z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